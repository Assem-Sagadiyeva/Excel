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Чингиз\Desktop\Academica Courses\Финальный проект\"/>
    </mc:Choice>
  </mc:AlternateContent>
  <xr:revisionPtr revIDLastSave="0" documentId="13_ncr:1_{09C8C8A4-D5EC-4B7F-AC18-1C284AB4C3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 ответов" sheetId="2" r:id="rId1"/>
    <sheet name="База данных" sheetId="1" r:id="rId2"/>
  </sheets>
  <definedNames>
    <definedName name="_xlnm._FilterDatabase" localSheetId="1" hidden="1">'База данных'!$A$1:$I$624</definedName>
  </definedNames>
  <calcPr calcId="181029"/>
  <pivotCaches>
    <pivotCache cacheId="21" r:id="rId3"/>
  </pivotCaches>
</workbook>
</file>

<file path=xl/calcChain.xml><?xml version="1.0" encoding="utf-8"?>
<calcChain xmlns="http://schemas.openxmlformats.org/spreadsheetml/2006/main">
  <c r="D23" i="2" l="1"/>
  <c r="D22" i="2"/>
  <c r="D19" i="2"/>
  <c r="D18" i="2"/>
  <c r="D17" i="2"/>
  <c r="D16" i="2"/>
  <c r="D15" i="2"/>
  <c r="D14" i="2"/>
  <c r="D13" i="2"/>
  <c r="D12" i="2"/>
  <c r="D9" i="2"/>
  <c r="D8" i="2"/>
  <c r="D7" i="2"/>
  <c r="D5" i="2"/>
  <c r="D4" i="2"/>
  <c r="D3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518" i="1"/>
  <c r="I519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486" i="1"/>
  <c r="I487" i="1"/>
  <c r="I488" i="1"/>
  <c r="I489" i="1"/>
  <c r="I490" i="1"/>
  <c r="I491" i="1"/>
  <c r="I492" i="1"/>
  <c r="I493" i="1"/>
  <c r="I494" i="1"/>
  <c r="I495" i="1"/>
  <c r="I480" i="1"/>
  <c r="I481" i="1"/>
  <c r="I482" i="1"/>
  <c r="I483" i="1"/>
  <c r="I484" i="1"/>
  <c r="I485" i="1"/>
  <c r="I471" i="1"/>
  <c r="I472" i="1"/>
  <c r="I473" i="1"/>
  <c r="I474" i="1"/>
  <c r="I475" i="1"/>
  <c r="I476" i="1"/>
  <c r="I477" i="1"/>
  <c r="I478" i="1"/>
  <c r="I479" i="1"/>
  <c r="I463" i="1"/>
  <c r="I464" i="1"/>
  <c r="I465" i="1"/>
  <c r="I466" i="1"/>
  <c r="I467" i="1"/>
  <c r="I468" i="1"/>
  <c r="I469" i="1"/>
  <c r="I470" i="1"/>
  <c r="I454" i="1"/>
  <c r="I455" i="1"/>
  <c r="I456" i="1"/>
  <c r="I457" i="1"/>
  <c r="I458" i="1"/>
  <c r="I459" i="1"/>
  <c r="I460" i="1"/>
  <c r="I461" i="1"/>
  <c r="I462" i="1"/>
  <c r="I445" i="1"/>
  <c r="I446" i="1"/>
  <c r="I447" i="1"/>
  <c r="I448" i="1"/>
  <c r="I449" i="1"/>
  <c r="I450" i="1"/>
  <c r="I451" i="1"/>
  <c r="I452" i="1"/>
  <c r="I453" i="1"/>
  <c r="I436" i="1"/>
  <c r="I437" i="1"/>
  <c r="I438" i="1"/>
  <c r="I439" i="1"/>
  <c r="I440" i="1"/>
  <c r="I441" i="1"/>
  <c r="I442" i="1"/>
  <c r="I443" i="1"/>
  <c r="I444" i="1"/>
  <c r="I428" i="1"/>
  <c r="I429" i="1"/>
  <c r="I430" i="1"/>
  <c r="I431" i="1"/>
  <c r="I432" i="1"/>
  <c r="I433" i="1"/>
  <c r="I434" i="1"/>
  <c r="I435" i="1"/>
  <c r="I420" i="1"/>
  <c r="I421" i="1"/>
  <c r="I422" i="1"/>
  <c r="I423" i="1"/>
  <c r="I424" i="1"/>
  <c r="I425" i="1"/>
  <c r="I426" i="1"/>
  <c r="I427" i="1"/>
  <c r="I414" i="1"/>
  <c r="I415" i="1"/>
  <c r="I416" i="1"/>
  <c r="I417" i="1"/>
  <c r="I418" i="1"/>
  <c r="I419" i="1"/>
  <c r="I408" i="1"/>
  <c r="I409" i="1"/>
  <c r="I410" i="1"/>
  <c r="I411" i="1"/>
  <c r="I412" i="1"/>
  <c r="I413" i="1"/>
  <c r="I400" i="1"/>
  <c r="I401" i="1"/>
  <c r="I402" i="1"/>
  <c r="I403" i="1"/>
  <c r="I404" i="1"/>
  <c r="I405" i="1"/>
  <c r="I406" i="1"/>
  <c r="I407" i="1"/>
  <c r="I399" i="1"/>
  <c r="I396" i="1"/>
  <c r="I397" i="1"/>
  <c r="I398" i="1"/>
  <c r="I394" i="1"/>
  <c r="I395" i="1"/>
  <c r="I392" i="1"/>
  <c r="I393" i="1"/>
  <c r="I382" i="1"/>
  <c r="I383" i="1"/>
  <c r="I384" i="1"/>
  <c r="I385" i="1"/>
  <c r="I386" i="1"/>
  <c r="I387" i="1"/>
  <c r="I388" i="1"/>
  <c r="I389" i="1"/>
  <c r="I390" i="1"/>
  <c r="I391" i="1"/>
  <c r="I378" i="1"/>
  <c r="I379" i="1"/>
  <c r="I380" i="1"/>
  <c r="I381" i="1"/>
  <c r="I375" i="1"/>
  <c r="I376" i="1"/>
  <c r="I377" i="1"/>
  <c r="I374" i="1"/>
  <c r="I371" i="1"/>
  <c r="I372" i="1"/>
  <c r="I373" i="1"/>
  <c r="I368" i="1"/>
  <c r="I369" i="1"/>
  <c r="I370" i="1"/>
  <c r="I367" i="1"/>
  <c r="I365" i="1"/>
  <c r="I366" i="1"/>
  <c r="I364" i="1"/>
  <c r="I363" i="1"/>
  <c r="I362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518" i="1"/>
  <c r="H519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486" i="1"/>
  <c r="H487" i="1"/>
  <c r="H488" i="1"/>
  <c r="H489" i="1"/>
  <c r="H490" i="1"/>
  <c r="H491" i="1"/>
  <c r="H492" i="1"/>
  <c r="H493" i="1"/>
  <c r="H494" i="1"/>
  <c r="H495" i="1"/>
  <c r="H480" i="1"/>
  <c r="H481" i="1"/>
  <c r="H482" i="1"/>
  <c r="H483" i="1"/>
  <c r="H484" i="1"/>
  <c r="H485" i="1"/>
  <c r="H471" i="1"/>
  <c r="H472" i="1"/>
  <c r="H473" i="1"/>
  <c r="H474" i="1"/>
  <c r="H475" i="1"/>
  <c r="H476" i="1"/>
  <c r="H477" i="1"/>
  <c r="H478" i="1"/>
  <c r="H479" i="1"/>
  <c r="H463" i="1"/>
  <c r="H464" i="1"/>
  <c r="H465" i="1"/>
  <c r="H466" i="1"/>
  <c r="H467" i="1"/>
  <c r="H468" i="1"/>
  <c r="H469" i="1"/>
  <c r="H470" i="1"/>
  <c r="H454" i="1"/>
  <c r="H455" i="1"/>
  <c r="H456" i="1"/>
  <c r="H457" i="1"/>
  <c r="H458" i="1"/>
  <c r="H459" i="1"/>
  <c r="H460" i="1"/>
  <c r="H461" i="1"/>
  <c r="H462" i="1"/>
  <c r="H445" i="1"/>
  <c r="H446" i="1"/>
  <c r="H447" i="1"/>
  <c r="H448" i="1"/>
  <c r="H449" i="1"/>
  <c r="H450" i="1"/>
  <c r="H451" i="1"/>
  <c r="H452" i="1"/>
  <c r="H453" i="1"/>
  <c r="H436" i="1"/>
  <c r="H437" i="1"/>
  <c r="H438" i="1"/>
  <c r="H439" i="1"/>
  <c r="H440" i="1"/>
  <c r="H441" i="1"/>
  <c r="H442" i="1"/>
  <c r="H443" i="1"/>
  <c r="H444" i="1"/>
  <c r="H428" i="1"/>
  <c r="H429" i="1"/>
  <c r="H430" i="1"/>
  <c r="H431" i="1"/>
  <c r="H432" i="1"/>
  <c r="H433" i="1"/>
  <c r="H434" i="1"/>
  <c r="H435" i="1"/>
  <c r="H420" i="1"/>
  <c r="H421" i="1"/>
  <c r="H422" i="1"/>
  <c r="H423" i="1"/>
  <c r="H424" i="1"/>
  <c r="H425" i="1"/>
  <c r="H426" i="1"/>
  <c r="H427" i="1"/>
  <c r="H414" i="1"/>
  <c r="H415" i="1"/>
  <c r="H416" i="1"/>
  <c r="H417" i="1"/>
  <c r="H418" i="1"/>
  <c r="H419" i="1"/>
  <c r="H408" i="1"/>
  <c r="H409" i="1"/>
  <c r="H410" i="1"/>
  <c r="H411" i="1"/>
  <c r="H412" i="1"/>
  <c r="H413" i="1"/>
  <c r="H400" i="1"/>
  <c r="H401" i="1"/>
  <c r="H402" i="1"/>
  <c r="H403" i="1"/>
  <c r="H404" i="1"/>
  <c r="H405" i="1"/>
  <c r="H406" i="1"/>
  <c r="H407" i="1"/>
  <c r="H399" i="1"/>
  <c r="H396" i="1"/>
  <c r="H397" i="1"/>
  <c r="H398" i="1"/>
  <c r="H394" i="1"/>
  <c r="H395" i="1"/>
  <c r="H392" i="1"/>
  <c r="H393" i="1"/>
  <c r="H382" i="1"/>
  <c r="H383" i="1"/>
  <c r="H384" i="1"/>
  <c r="H385" i="1"/>
  <c r="H386" i="1"/>
  <c r="H387" i="1"/>
  <c r="H388" i="1"/>
  <c r="H389" i="1"/>
  <c r="H390" i="1"/>
  <c r="H391" i="1"/>
  <c r="H378" i="1"/>
  <c r="H379" i="1"/>
  <c r="H380" i="1"/>
  <c r="H381" i="1"/>
  <c r="H375" i="1"/>
  <c r="H376" i="1"/>
  <c r="H377" i="1"/>
  <c r="H374" i="1"/>
  <c r="H371" i="1"/>
  <c r="H372" i="1"/>
  <c r="H373" i="1"/>
  <c r="H368" i="1"/>
  <c r="H369" i="1"/>
  <c r="H370" i="1"/>
  <c r="H367" i="1"/>
  <c r="H365" i="1"/>
  <c r="H366" i="1"/>
  <c r="H364" i="1"/>
  <c r="H363" i="1"/>
  <c r="H362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518" i="1"/>
  <c r="G519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486" i="1"/>
  <c r="G487" i="1"/>
  <c r="G488" i="1"/>
  <c r="G489" i="1"/>
  <c r="G490" i="1"/>
  <c r="G491" i="1"/>
  <c r="G492" i="1"/>
  <c r="G493" i="1"/>
  <c r="G494" i="1"/>
  <c r="G495" i="1"/>
  <c r="G480" i="1"/>
  <c r="G481" i="1"/>
  <c r="G482" i="1"/>
  <c r="G483" i="1"/>
  <c r="G484" i="1"/>
  <c r="G485" i="1"/>
  <c r="G471" i="1"/>
  <c r="G472" i="1"/>
  <c r="G473" i="1"/>
  <c r="G474" i="1"/>
  <c r="G475" i="1"/>
  <c r="G476" i="1"/>
  <c r="G477" i="1"/>
  <c r="G478" i="1"/>
  <c r="G479" i="1"/>
  <c r="G463" i="1"/>
  <c r="G464" i="1"/>
  <c r="G465" i="1"/>
  <c r="G466" i="1"/>
  <c r="G467" i="1"/>
  <c r="G468" i="1"/>
  <c r="G469" i="1"/>
  <c r="G470" i="1"/>
  <c r="G454" i="1"/>
  <c r="G455" i="1"/>
  <c r="G456" i="1"/>
  <c r="G457" i="1"/>
  <c r="G458" i="1"/>
  <c r="G459" i="1"/>
  <c r="G460" i="1"/>
  <c r="G461" i="1"/>
  <c r="G462" i="1"/>
  <c r="G445" i="1"/>
  <c r="G446" i="1"/>
  <c r="G447" i="1"/>
  <c r="G448" i="1"/>
  <c r="G449" i="1"/>
  <c r="G450" i="1"/>
  <c r="G451" i="1"/>
  <c r="G452" i="1"/>
  <c r="G453" i="1"/>
  <c r="G436" i="1"/>
  <c r="G437" i="1"/>
  <c r="G438" i="1"/>
  <c r="G439" i="1"/>
  <c r="G440" i="1"/>
  <c r="G441" i="1"/>
  <c r="G442" i="1"/>
  <c r="G443" i="1"/>
  <c r="G444" i="1"/>
  <c r="G428" i="1"/>
  <c r="G429" i="1"/>
  <c r="G430" i="1"/>
  <c r="G431" i="1"/>
  <c r="G432" i="1"/>
  <c r="G433" i="1"/>
  <c r="G434" i="1"/>
  <c r="G435" i="1"/>
  <c r="G420" i="1"/>
  <c r="G421" i="1"/>
  <c r="G422" i="1"/>
  <c r="G423" i="1"/>
  <c r="G424" i="1"/>
  <c r="G425" i="1"/>
  <c r="G426" i="1"/>
  <c r="G427" i="1"/>
  <c r="G414" i="1"/>
  <c r="G415" i="1"/>
  <c r="G416" i="1"/>
  <c r="G417" i="1"/>
  <c r="G418" i="1"/>
  <c r="G419" i="1"/>
  <c r="G408" i="1"/>
  <c r="G409" i="1"/>
  <c r="G410" i="1"/>
  <c r="G411" i="1"/>
  <c r="G412" i="1"/>
  <c r="G413" i="1"/>
  <c r="G400" i="1"/>
  <c r="G401" i="1"/>
  <c r="G402" i="1"/>
  <c r="G403" i="1"/>
  <c r="G404" i="1"/>
  <c r="G405" i="1"/>
  <c r="G406" i="1"/>
  <c r="G407" i="1"/>
  <c r="G399" i="1"/>
  <c r="G396" i="1"/>
  <c r="G397" i="1"/>
  <c r="G398" i="1"/>
  <c r="G394" i="1"/>
  <c r="G395" i="1"/>
  <c r="G392" i="1"/>
  <c r="G393" i="1"/>
  <c r="G382" i="1"/>
  <c r="G383" i="1"/>
  <c r="G384" i="1"/>
  <c r="G385" i="1"/>
  <c r="G386" i="1"/>
  <c r="G387" i="1"/>
  <c r="G388" i="1"/>
  <c r="G389" i="1"/>
  <c r="G390" i="1"/>
  <c r="G391" i="1"/>
  <c r="G378" i="1"/>
  <c r="G379" i="1"/>
  <c r="G380" i="1"/>
  <c r="G381" i="1"/>
  <c r="G375" i="1"/>
  <c r="G376" i="1"/>
  <c r="G377" i="1"/>
  <c r="G374" i="1"/>
  <c r="G371" i="1"/>
  <c r="G372" i="1"/>
  <c r="G373" i="1"/>
  <c r="G368" i="1"/>
  <c r="G369" i="1"/>
  <c r="G370" i="1"/>
  <c r="G367" i="1"/>
  <c r="G365" i="1"/>
  <c r="G366" i="1"/>
  <c r="G364" i="1"/>
  <c r="G363" i="1"/>
  <c r="G362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518" i="1"/>
  <c r="F519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486" i="1"/>
  <c r="F487" i="1"/>
  <c r="F488" i="1"/>
  <c r="F489" i="1"/>
  <c r="F490" i="1"/>
  <c r="F491" i="1"/>
  <c r="F492" i="1"/>
  <c r="F493" i="1"/>
  <c r="F494" i="1"/>
  <c r="F495" i="1"/>
  <c r="F480" i="1"/>
  <c r="F481" i="1"/>
  <c r="F482" i="1"/>
  <c r="F483" i="1"/>
  <c r="F484" i="1"/>
  <c r="F485" i="1"/>
  <c r="F471" i="1"/>
  <c r="F472" i="1"/>
  <c r="F473" i="1"/>
  <c r="F474" i="1"/>
  <c r="F475" i="1"/>
  <c r="F476" i="1"/>
  <c r="F477" i="1"/>
  <c r="F478" i="1"/>
  <c r="F479" i="1"/>
  <c r="F463" i="1"/>
  <c r="F464" i="1"/>
  <c r="F465" i="1"/>
  <c r="F466" i="1"/>
  <c r="F467" i="1"/>
  <c r="F468" i="1"/>
  <c r="F469" i="1"/>
  <c r="F470" i="1"/>
  <c r="F454" i="1"/>
  <c r="F455" i="1"/>
  <c r="F456" i="1"/>
  <c r="F457" i="1"/>
  <c r="F458" i="1"/>
  <c r="F459" i="1"/>
  <c r="F460" i="1"/>
  <c r="F461" i="1"/>
  <c r="F462" i="1"/>
  <c r="F445" i="1"/>
  <c r="F446" i="1"/>
  <c r="F447" i="1"/>
  <c r="F448" i="1"/>
  <c r="F449" i="1"/>
  <c r="F450" i="1"/>
  <c r="F451" i="1"/>
  <c r="F452" i="1"/>
  <c r="F453" i="1"/>
  <c r="F436" i="1"/>
  <c r="F437" i="1"/>
  <c r="F438" i="1"/>
  <c r="F439" i="1"/>
  <c r="F440" i="1"/>
  <c r="F441" i="1"/>
  <c r="F442" i="1"/>
  <c r="F443" i="1"/>
  <c r="F444" i="1"/>
  <c r="F428" i="1"/>
  <c r="F429" i="1"/>
  <c r="F430" i="1"/>
  <c r="F431" i="1"/>
  <c r="F432" i="1"/>
  <c r="F433" i="1"/>
  <c r="F434" i="1"/>
  <c r="F435" i="1"/>
  <c r="F420" i="1"/>
  <c r="F421" i="1"/>
  <c r="F422" i="1"/>
  <c r="F423" i="1"/>
  <c r="F424" i="1"/>
  <c r="F425" i="1"/>
  <c r="F426" i="1"/>
  <c r="F427" i="1"/>
  <c r="F414" i="1"/>
  <c r="F415" i="1"/>
  <c r="F416" i="1"/>
  <c r="F417" i="1"/>
  <c r="F418" i="1"/>
  <c r="F419" i="1"/>
  <c r="F408" i="1"/>
  <c r="F409" i="1"/>
  <c r="F410" i="1"/>
  <c r="F411" i="1"/>
  <c r="F412" i="1"/>
  <c r="F413" i="1"/>
  <c r="F400" i="1"/>
  <c r="F401" i="1"/>
  <c r="F402" i="1"/>
  <c r="F403" i="1"/>
  <c r="F404" i="1"/>
  <c r="F405" i="1"/>
  <c r="F406" i="1"/>
  <c r="F407" i="1"/>
  <c r="F399" i="1"/>
  <c r="F396" i="1"/>
  <c r="F397" i="1"/>
  <c r="F398" i="1"/>
  <c r="F394" i="1"/>
  <c r="F395" i="1"/>
  <c r="F392" i="1"/>
  <c r="F393" i="1"/>
  <c r="F382" i="1"/>
  <c r="F383" i="1"/>
  <c r="F384" i="1"/>
  <c r="F385" i="1"/>
  <c r="F386" i="1"/>
  <c r="F387" i="1"/>
  <c r="F388" i="1"/>
  <c r="F389" i="1"/>
  <c r="F390" i="1"/>
  <c r="F391" i="1"/>
  <c r="F378" i="1"/>
  <c r="F379" i="1"/>
  <c r="F380" i="1"/>
  <c r="F381" i="1"/>
  <c r="F375" i="1"/>
  <c r="F376" i="1"/>
  <c r="F377" i="1"/>
  <c r="F374" i="1"/>
  <c r="F371" i="1"/>
  <c r="F372" i="1"/>
  <c r="F373" i="1"/>
  <c r="F368" i="1"/>
  <c r="F369" i="1"/>
  <c r="F370" i="1"/>
  <c r="F367" i="1"/>
  <c r="F365" i="1"/>
  <c r="F366" i="1"/>
  <c r="F364" i="1"/>
  <c r="F363" i="1"/>
  <c r="F362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2" i="1"/>
  <c r="F13" i="2" l="1"/>
  <c r="C14" i="2" s="1"/>
  <c r="B14" i="2" s="1"/>
  <c r="F12" i="2"/>
  <c r="C13" i="2" s="1"/>
  <c r="B13" i="2" s="1"/>
  <c r="F9" i="2"/>
  <c r="C10" i="2" s="1"/>
  <c r="B10" i="2" s="1"/>
  <c r="F8" i="2"/>
  <c r="C9" i="2" s="1"/>
  <c r="B9" i="2" s="1"/>
  <c r="F7" i="2"/>
  <c r="C8" i="2" s="1"/>
  <c r="B8" i="2" s="1"/>
  <c r="F5" i="2"/>
  <c r="C6" i="2" s="1"/>
  <c r="B6" i="2" s="1"/>
  <c r="F24" i="2"/>
  <c r="C25" i="2" s="1"/>
  <c r="B25" i="2" s="1"/>
  <c r="F22" i="2"/>
  <c r="C23" i="2" s="1"/>
  <c r="B23" i="2" s="1"/>
  <c r="F23" i="2"/>
  <c r="C24" i="2" s="1"/>
  <c r="B24" i="2" s="1"/>
  <c r="F26" i="2"/>
  <c r="C27" i="2" s="1"/>
  <c r="F25" i="2"/>
  <c r="C26" i="2" s="1"/>
  <c r="B26" i="2" s="1"/>
  <c r="F19" i="2"/>
  <c r="C20" i="2" s="1"/>
  <c r="B20" i="2" s="1"/>
  <c r="F18" i="2"/>
  <c r="C19" i="2" s="1"/>
  <c r="B19" i="2" s="1"/>
  <c r="F17" i="2"/>
  <c r="C18" i="2" s="1"/>
  <c r="B18" i="2" s="1"/>
  <c r="F4" i="2" l="1"/>
  <c r="C5" i="2" s="1"/>
  <c r="B5" i="2" s="1"/>
  <c r="D21" i="2"/>
  <c r="F21" i="2" s="1"/>
  <c r="C22" i="2" s="1"/>
  <c r="B22" i="2" s="1"/>
  <c r="F3" i="2"/>
  <c r="C4" i="2" s="1"/>
  <c r="B4" i="2" s="1"/>
  <c r="D20" i="2"/>
  <c r="F20" i="2" s="1"/>
  <c r="C21" i="2" s="1"/>
  <c r="B21" i="2" s="1"/>
  <c r="F14" i="2"/>
  <c r="C15" i="2" s="1"/>
  <c r="B15" i="2" s="1"/>
  <c r="D6" i="2"/>
  <c r="F6" i="2" s="1"/>
  <c r="C7" i="2" s="1"/>
  <c r="B7" i="2" s="1"/>
  <c r="D10" i="2"/>
  <c r="F10" i="2" s="1"/>
  <c r="C11" i="2" s="1"/>
  <c r="B11" i="2" s="1"/>
  <c r="D11" i="2"/>
  <c r="F11" i="2" s="1"/>
  <c r="C12" i="2" s="1"/>
  <c r="B12" i="2" s="1"/>
  <c r="F15" i="2"/>
  <c r="C16" i="2" s="1"/>
  <c r="B16" i="2" s="1"/>
  <c r="F16" i="2" l="1"/>
  <c r="C17" i="2" s="1"/>
  <c r="B17" i="2" s="1"/>
</calcChain>
</file>

<file path=xl/sharedStrings.xml><?xml version="1.0" encoding="utf-8"?>
<sst xmlns="http://schemas.openxmlformats.org/spreadsheetml/2006/main" count="648" uniqueCount="27">
  <si>
    <t>Внутри сети</t>
  </si>
  <si>
    <t>На других операторов</t>
  </si>
  <si>
    <t>На городской</t>
  </si>
  <si>
    <t>На межнар</t>
  </si>
  <si>
    <t>Другое</t>
  </si>
  <si>
    <t>Начисления, тенге</t>
  </si>
  <si>
    <t>Продолжительность разговора, секунды</t>
  </si>
  <si>
    <t>Направление звонка</t>
  </si>
  <si>
    <t>Тарифный план</t>
  </si>
  <si>
    <t>Абонент</t>
  </si>
  <si>
    <t>№</t>
  </si>
  <si>
    <t>Вычислите общую сумму начислений для всех абонентов в тенге</t>
  </si>
  <si>
    <t>ДРУГОЕ</t>
  </si>
  <si>
    <t>НА ГОРОДСКОЙ</t>
  </si>
  <si>
    <t>ОТВЕТ</t>
  </si>
  <si>
    <t>СТАТУС</t>
  </si>
  <si>
    <t>ЗАДАНИЕ</t>
  </si>
  <si>
    <t>у меня нет фунции УНИК, поэтому созадала отдельный столбец</t>
  </si>
  <si>
    <r>
      <t>1</t>
    </r>
    <r>
      <rPr>
        <sz val="11"/>
        <color indexed="8"/>
        <rFont val="Calibri"/>
        <family val="2"/>
      </rPr>
      <t xml:space="preserve"> - если абонент встретился впервые в таблице, и </t>
    </r>
    <r>
      <rPr>
        <sz val="10"/>
        <color indexed="8"/>
        <rFont val="Arial Unicode MS"/>
      </rPr>
      <t>0 -</t>
    </r>
    <r>
      <rPr>
        <sz val="11"/>
        <color indexed="8"/>
        <rFont val="Calibri"/>
        <family val="2"/>
      </rPr>
      <t xml:space="preserve"> если это повтор</t>
    </r>
  </si>
  <si>
    <t>УНИК</t>
  </si>
  <si>
    <t>УНИК (внутри сети)</t>
  </si>
  <si>
    <t>УНИК (ТП 6)</t>
  </si>
  <si>
    <t>УНИК (ТП 2)</t>
  </si>
  <si>
    <t>Названия строк</t>
  </si>
  <si>
    <t>Общий итог</t>
  </si>
  <si>
    <t>Сумма по полю Продолжительность разговора, секунды</t>
  </si>
  <si>
    <t>На городской, Другое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</si>
</sst>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7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name val="Calibri"/>
      <family val="2"/>
    </font>
    <font>
      <sz val="8"/>
      <name val="Calibri"/>
      <family val="2"/>
    </font>
    <font>
      <sz val="10"/>
      <color indexed="8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  <protection locked="0"/>
    </xf>
    <xf numFmtId="10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1" applyNumberFormat="1" applyFont="1" applyFill="1" applyAlignment="1" applyProtection="1">
      <alignment horizontal="center" vertical="center"/>
      <protection hidden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Protection="1">
      <protection hidden="1"/>
    </xf>
    <xf numFmtId="10" fontId="1" fillId="2" borderId="0" xfId="1" applyNumberFormat="1" applyFont="1" applyFill="1" applyAlignment="1" applyProtection="1">
      <alignment vertical="center"/>
      <protection hidden="1"/>
    </xf>
    <xf numFmtId="164" fontId="0" fillId="2" borderId="1" xfId="0" applyNumberFormat="1" applyFill="1" applyBorder="1" applyAlignment="1" applyProtection="1">
      <alignment horizontal="center" vertical="center"/>
      <protection locked="0"/>
    </xf>
    <xf numFmtId="0" fontId="3" fillId="2" borderId="0" xfId="0" applyFont="1" applyFill="1" applyProtection="1">
      <protection hidden="1"/>
    </xf>
    <xf numFmtId="1" fontId="3" fillId="2" borderId="0" xfId="1" applyNumberFormat="1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1" fontId="1" fillId="2" borderId="1" xfId="1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Protection="1">
      <protection locked="0"/>
    </xf>
    <xf numFmtId="9" fontId="0" fillId="2" borderId="1" xfId="0" applyNumberFormat="1" applyFill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 wrapText="1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 vertical="center"/>
      <protection locked="0"/>
    </xf>
    <xf numFmtId="0" fontId="6" fillId="0" borderId="0" xfId="0" applyFont="1"/>
    <xf numFmtId="1" fontId="2" fillId="0" borderId="1" xfId="0" applyNumberFormat="1" applyFont="1" applyBorder="1" applyAlignment="1" applyProtection="1">
      <alignment horizontal="center" vertical="center" wrapText="1"/>
      <protection locked="0"/>
    </xf>
    <xf numFmtId="1" fontId="0" fillId="0" borderId="3" xfId="0" applyNumberFormat="1" applyBorder="1" applyAlignment="1" applyProtection="1">
      <alignment horizontal="center"/>
      <protection locked="0"/>
    </xf>
    <xf numFmtId="1" fontId="0" fillId="0" borderId="0" xfId="0" applyNumberFormat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2">
    <cellStyle name="Обычный" xfId="0" builtinId="0"/>
    <cellStyle name="Процентный" xfId="1" builtinId="5"/>
  </cellStyles>
  <dxfs count="14">
    <dxf>
      <border>
        <left/>
        <right/>
        <top/>
        <bottom/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</dxfs>
  <tableStyles count="1" defaultTableStyle="TableStyleMedium9" defaultPivotStyle="PivotStyleLight16">
    <tableStyle name="Invisible" pivot="0" table="0" count="0" xr9:uid="{D4F3E3F2-296C-4D22-87F1-92EC743FC5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Structure" Target="richData/rdrichvaluestructure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Чингиз" refreshedDate="46295.562711689818" createdVersion="7" refreshedVersion="7" minRefreshableVersion="3" recordCount="623" xr:uid="{FD7DA72F-7698-4A3A-8507-ED006D2FA445}">
  <cacheSource type="worksheet">
    <worksheetSource ref="A1:I624" sheet="База данных"/>
  </cacheSource>
  <cacheFields count="9">
    <cacheField name="Абонент" numFmtId="0">
      <sharedItems containsSemiMixedTypes="0" containsString="0" containsNumber="1" containsInteger="1" minValue="77010000001" maxValue="77010000313" count="292">
        <n v="77010000068"/>
        <n v="77010000001"/>
        <n v="77010000003"/>
        <n v="77010000004"/>
        <n v="77010000008"/>
        <n v="77010000052"/>
        <n v="77010000060"/>
        <n v="77010000046"/>
        <n v="77010000054"/>
        <n v="77010000062"/>
        <n v="77010000065"/>
        <n v="77010000066"/>
        <n v="77010000063"/>
        <n v="77010000045"/>
        <n v="77010000082"/>
        <n v="77010000094"/>
        <n v="77010000042"/>
        <n v="77010000014"/>
        <n v="77010000017"/>
        <n v="77010000040"/>
        <n v="77010000056"/>
        <n v="77010000061"/>
        <n v="77010000078"/>
        <n v="77010000005"/>
        <n v="77010000006"/>
        <n v="77010000051"/>
        <n v="77010000058"/>
        <n v="77010000070"/>
        <n v="77010000064"/>
        <n v="77010000037"/>
        <n v="77010000086"/>
        <n v="77010000092"/>
        <n v="77010000095"/>
        <n v="77010000009"/>
        <n v="77010000010"/>
        <n v="77010000016"/>
        <n v="77010000081"/>
        <n v="77010000067"/>
        <n v="77010000075"/>
        <n v="77010000088"/>
        <n v="77010000002"/>
        <n v="77010000049"/>
        <n v="77010000079"/>
        <n v="77010000048"/>
        <n v="77010000057"/>
        <n v="77010000084"/>
        <n v="77010000007"/>
        <n v="77010000089"/>
        <n v="77010000093"/>
        <n v="77010000018"/>
        <n v="77010000073"/>
        <n v="77010000053"/>
        <n v="77010000085"/>
        <n v="77010000033"/>
        <n v="77010000031"/>
        <n v="77010000050"/>
        <n v="77010000055"/>
        <n v="77010000090"/>
        <n v="77010000076"/>
        <n v="77010000035"/>
        <n v="77010000023"/>
        <n v="77010000039"/>
        <n v="77010000069"/>
        <n v="77010000047"/>
        <n v="77010000043"/>
        <n v="77010000013"/>
        <n v="77010000036"/>
        <n v="77010000074"/>
        <n v="77010000059"/>
        <n v="77010000077"/>
        <n v="77010000083"/>
        <n v="77010000011"/>
        <n v="77010000027"/>
        <n v="77010000032"/>
        <n v="77010000022"/>
        <n v="77010000034"/>
        <n v="77010000080"/>
        <n v="77010000041"/>
        <n v="77010000044"/>
        <n v="77010000091"/>
        <n v="77010000021"/>
        <n v="77010000026"/>
        <n v="77010000029"/>
        <n v="77010000038"/>
        <n v="77010000020"/>
        <n v="77010000025"/>
        <n v="77010000012"/>
        <n v="77010000024"/>
        <n v="77010000087"/>
        <n v="77010000096"/>
        <n v="77010000072"/>
        <n v="77010000071"/>
        <n v="77010000028"/>
        <n v="77010000030"/>
        <n v="77010000019"/>
        <n v="77010000015"/>
        <n v="77010000112"/>
        <n v="77010000114"/>
        <n v="77010000118"/>
        <n v="77010000120"/>
        <n v="77010000115"/>
        <n v="77010000121"/>
        <n v="77010000125"/>
        <n v="77010000103"/>
        <n v="77010000110"/>
        <n v="77010000128"/>
        <n v="77010000126"/>
        <n v="77010000127"/>
        <n v="77010000100"/>
        <n v="77010000102"/>
        <n v="77010000124"/>
        <n v="77010000111"/>
        <n v="77010000129"/>
        <n v="77010000098"/>
        <n v="77010000104"/>
        <n v="77010000106"/>
        <n v="77010000107"/>
        <n v="77010000105"/>
        <n v="77010000117"/>
        <n v="77010000123"/>
        <n v="77010000113"/>
        <n v="77010000119"/>
        <n v="77010000116"/>
        <n v="77010000122"/>
        <n v="77010000109"/>
        <n v="77010000108"/>
        <n v="77010000101"/>
        <n v="77010000099"/>
        <n v="77010000138"/>
        <n v="77010000135"/>
        <n v="77010000134"/>
        <n v="77010000130"/>
        <n v="77010000131"/>
        <n v="77010000145"/>
        <n v="77010000137"/>
        <n v="77010000132"/>
        <n v="77010000139"/>
        <n v="77010000136"/>
        <n v="77010000144"/>
        <n v="77010000143"/>
        <n v="77010000141"/>
        <n v="77010000133"/>
        <n v="77010000146"/>
        <n v="77010000140"/>
        <n v="77010000142"/>
        <n v="77010000150"/>
        <n v="77010000148"/>
        <n v="77010000147"/>
        <n v="77010000149"/>
        <n v="77010000151"/>
        <n v="77010000152"/>
        <n v="77010000154"/>
        <n v="77010000153"/>
        <n v="77010000215"/>
        <n v="77010000211"/>
        <n v="77010000214"/>
        <n v="77010000222"/>
        <n v="77010000225"/>
        <n v="77010000205"/>
        <n v="77010000181"/>
        <n v="77010000186"/>
        <n v="77010000229"/>
        <n v="77010000170"/>
        <n v="77010000173"/>
        <n v="77010000196"/>
        <n v="77010000204"/>
        <n v="77010000208"/>
        <n v="77010000234"/>
        <n v="77010000183"/>
        <n v="77010000176"/>
        <n v="77010000180"/>
        <n v="77010000232"/>
        <n v="77010000179"/>
        <n v="77010000188"/>
        <n v="77010000191"/>
        <n v="77010000194"/>
        <n v="77010000195"/>
        <n v="77010000185"/>
        <n v="77010000213"/>
        <n v="77010000230"/>
        <n v="77010000217"/>
        <n v="77010000206"/>
        <n v="77010000236"/>
        <n v="77010000177"/>
        <n v="77010000207"/>
        <n v="77010000202"/>
        <n v="77010000178"/>
        <n v="77010000201"/>
        <n v="77010000209"/>
        <n v="77010000226"/>
        <n v="77010000228"/>
        <n v="77010000210"/>
        <n v="77010000182"/>
        <n v="77010000184"/>
        <n v="77010000197"/>
        <n v="77010000172"/>
        <n v="77010000212"/>
        <n v="77010000192"/>
        <n v="77010000187"/>
        <n v="77010000203"/>
        <n v="77010000231"/>
        <n v="77010000189"/>
        <n v="77010000233"/>
        <n v="77010000237"/>
        <n v="77010000166"/>
        <n v="77010000169"/>
        <n v="77010000171"/>
        <n v="77010000235"/>
        <n v="77010000218"/>
        <n v="77010000220"/>
        <n v="77010000190"/>
        <n v="77010000175"/>
        <n v="77010000221"/>
        <n v="77010000163"/>
        <n v="77010000219"/>
        <n v="77010000162"/>
        <n v="77010000167"/>
        <n v="77010000200"/>
        <n v="77010000193"/>
        <n v="77010000164"/>
        <n v="77010000168"/>
        <n v="77010000199"/>
        <n v="77010000223"/>
        <n v="77010000165"/>
        <n v="77010000198"/>
        <n v="77010000224"/>
        <n v="77010000227"/>
        <n v="77010000216"/>
        <n v="77010000174"/>
        <n v="77010000262"/>
        <n v="77010000240"/>
        <n v="77010000244"/>
        <n v="77010000245"/>
        <n v="77010000247"/>
        <n v="77010000252"/>
        <n v="77010000269"/>
        <n v="77010000273"/>
        <n v="77010000287"/>
        <n v="77010000288"/>
        <n v="77010000291"/>
        <n v="77010000293"/>
        <n v="77010000310"/>
        <n v="77010000271"/>
        <n v="77010000239"/>
        <n v="77010000243"/>
        <n v="77010000251"/>
        <n v="77010000306"/>
        <n v="77010000279"/>
        <n v="77010000281"/>
        <n v="77010000238"/>
        <n v="77010000246"/>
        <n v="77010000248"/>
        <n v="77010000270"/>
        <n v="77010000294"/>
        <n v="77010000290"/>
        <n v="77010000258"/>
        <n v="77010000285"/>
        <n v="77010000295"/>
        <n v="77010000312"/>
        <n v="77010000241"/>
        <n v="77010000242"/>
        <n v="77010000249"/>
        <n v="77010000257"/>
        <n v="77010000289"/>
        <n v="77010000250"/>
        <n v="77010000292"/>
        <n v="77010000254"/>
        <n v="77010000260"/>
        <n v="77010000261"/>
        <n v="77010000282"/>
        <n v="77010000255"/>
        <n v="77010000307"/>
        <n v="77010000274"/>
        <n v="77010000256"/>
        <n v="77010000308"/>
        <n v="77010000275"/>
        <n v="77010000311"/>
        <n v="77010000259"/>
        <n v="77010000272"/>
        <n v="77010000268"/>
        <n v="77010000309"/>
        <n v="77010000253"/>
        <n v="77010000276"/>
        <n v="77010000280"/>
        <n v="77010000296"/>
        <n v="77010000278"/>
        <n v="77010000277"/>
        <n v="77010000286"/>
        <n v="77010000284"/>
        <n v="77010000297"/>
        <n v="77010000313"/>
        <n v="77010000283"/>
      </sharedItems>
    </cacheField>
    <cacheField name="Тарифный план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Направление звонка" numFmtId="49">
      <sharedItems count="5">
        <s v="Внутри сети"/>
        <s v="На других операторов"/>
        <s v="На городской"/>
        <s v="На межнар"/>
        <s v="Другое"/>
      </sharedItems>
    </cacheField>
    <cacheField name="Начисления, тенге" numFmtId="0">
      <sharedItems containsSemiMixedTypes="0" containsString="0" containsNumber="1" minValue="0" maxValue="62.72"/>
    </cacheField>
    <cacheField name="Продолжительность разговора, секунды" numFmtId="2">
      <sharedItems containsSemiMixedTypes="0" containsString="0" containsNumber="1" containsInteger="1" minValue="0" maxValue="95"/>
    </cacheField>
    <cacheField name="УНИК" numFmtId="0">
      <sharedItems containsSemiMixedTypes="0" containsString="0" containsNumber="1" containsInteger="1" minValue="0" maxValue="1"/>
    </cacheField>
    <cacheField name="УНИК (внутри сети)" numFmtId="0">
      <sharedItems containsSemiMixedTypes="0" containsString="0" containsNumber="1" containsInteger="1" minValue="0" maxValue="1"/>
    </cacheField>
    <cacheField name="УНИК (ТП 6)" numFmtId="0">
      <sharedItems containsSemiMixedTypes="0" containsString="0" containsNumber="1" containsInteger="1" minValue="0" maxValue="1"/>
    </cacheField>
    <cacheField name="УНИК (ТП 2)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3">
  <r>
    <x v="0"/>
    <x v="0"/>
    <x v="0"/>
    <n v="0"/>
    <n v="0"/>
    <n v="1"/>
    <n v="1"/>
    <n v="0"/>
    <n v="0"/>
  </r>
  <r>
    <x v="1"/>
    <x v="0"/>
    <x v="0"/>
    <n v="0.43"/>
    <n v="1"/>
    <n v="1"/>
    <n v="1"/>
    <n v="0"/>
    <n v="0"/>
  </r>
  <r>
    <x v="2"/>
    <x v="0"/>
    <x v="0"/>
    <n v="0.43"/>
    <n v="1"/>
    <n v="1"/>
    <n v="1"/>
    <n v="0"/>
    <n v="0"/>
  </r>
  <r>
    <x v="3"/>
    <x v="0"/>
    <x v="0"/>
    <n v="0.43"/>
    <n v="1"/>
    <n v="1"/>
    <n v="1"/>
    <n v="0"/>
    <n v="0"/>
  </r>
  <r>
    <x v="4"/>
    <x v="0"/>
    <x v="0"/>
    <n v="0.43"/>
    <n v="1"/>
    <n v="1"/>
    <n v="1"/>
    <n v="0"/>
    <n v="0"/>
  </r>
  <r>
    <x v="5"/>
    <x v="0"/>
    <x v="0"/>
    <n v="0.43"/>
    <n v="1"/>
    <n v="1"/>
    <n v="1"/>
    <n v="0"/>
    <n v="0"/>
  </r>
  <r>
    <x v="6"/>
    <x v="0"/>
    <x v="0"/>
    <n v="0.43"/>
    <n v="1"/>
    <n v="1"/>
    <n v="1"/>
    <n v="0"/>
    <n v="0"/>
  </r>
  <r>
    <x v="7"/>
    <x v="0"/>
    <x v="0"/>
    <n v="0.43"/>
    <n v="1"/>
    <n v="1"/>
    <n v="1"/>
    <n v="0"/>
    <n v="0"/>
  </r>
  <r>
    <x v="8"/>
    <x v="0"/>
    <x v="0"/>
    <n v="0.43"/>
    <n v="1"/>
    <n v="1"/>
    <n v="1"/>
    <n v="0"/>
    <n v="0"/>
  </r>
  <r>
    <x v="9"/>
    <x v="0"/>
    <x v="0"/>
    <n v="0.43"/>
    <n v="1"/>
    <n v="1"/>
    <n v="1"/>
    <n v="0"/>
    <n v="0"/>
  </r>
  <r>
    <x v="10"/>
    <x v="0"/>
    <x v="0"/>
    <n v="0.43"/>
    <n v="1"/>
    <n v="1"/>
    <n v="1"/>
    <n v="0"/>
    <n v="0"/>
  </r>
  <r>
    <x v="11"/>
    <x v="0"/>
    <x v="0"/>
    <n v="0.43"/>
    <n v="1"/>
    <n v="1"/>
    <n v="1"/>
    <n v="0"/>
    <n v="0"/>
  </r>
  <r>
    <x v="12"/>
    <x v="0"/>
    <x v="1"/>
    <n v="7.43"/>
    <n v="1"/>
    <n v="1"/>
    <n v="0"/>
    <n v="0"/>
    <n v="0"/>
  </r>
  <r>
    <x v="11"/>
    <x v="0"/>
    <x v="0"/>
    <n v="0.43"/>
    <n v="1"/>
    <n v="0"/>
    <n v="0"/>
    <n v="0"/>
    <n v="0"/>
  </r>
  <r>
    <x v="13"/>
    <x v="0"/>
    <x v="0"/>
    <n v="0.43"/>
    <n v="1"/>
    <n v="1"/>
    <n v="1"/>
    <n v="0"/>
    <n v="0"/>
  </r>
  <r>
    <x v="14"/>
    <x v="0"/>
    <x v="0"/>
    <n v="0.43"/>
    <n v="1"/>
    <n v="1"/>
    <n v="1"/>
    <n v="0"/>
    <n v="0"/>
  </r>
  <r>
    <x v="15"/>
    <x v="0"/>
    <x v="0"/>
    <n v="0.43"/>
    <n v="1"/>
    <n v="1"/>
    <n v="1"/>
    <n v="0"/>
    <n v="0"/>
  </r>
  <r>
    <x v="2"/>
    <x v="0"/>
    <x v="0"/>
    <n v="0.43"/>
    <n v="1"/>
    <n v="0"/>
    <n v="0"/>
    <n v="0"/>
    <n v="0"/>
  </r>
  <r>
    <x v="16"/>
    <x v="0"/>
    <x v="2"/>
    <n v="7.43"/>
    <n v="1"/>
    <n v="1"/>
    <n v="0"/>
    <n v="0"/>
    <n v="0"/>
  </r>
  <r>
    <x v="4"/>
    <x v="0"/>
    <x v="0"/>
    <n v="0.43"/>
    <n v="1"/>
    <n v="0"/>
    <n v="0"/>
    <n v="0"/>
    <n v="0"/>
  </r>
  <r>
    <x v="17"/>
    <x v="0"/>
    <x v="0"/>
    <n v="0.43"/>
    <n v="1"/>
    <n v="1"/>
    <n v="1"/>
    <n v="0"/>
    <n v="0"/>
  </r>
  <r>
    <x v="18"/>
    <x v="0"/>
    <x v="0"/>
    <n v="0.43"/>
    <n v="1"/>
    <n v="1"/>
    <n v="1"/>
    <n v="0"/>
    <n v="0"/>
  </r>
  <r>
    <x v="19"/>
    <x v="0"/>
    <x v="0"/>
    <n v="0.43"/>
    <n v="1"/>
    <n v="1"/>
    <n v="1"/>
    <n v="0"/>
    <n v="0"/>
  </r>
  <r>
    <x v="20"/>
    <x v="0"/>
    <x v="0"/>
    <n v="0.43"/>
    <n v="1"/>
    <n v="1"/>
    <n v="1"/>
    <n v="0"/>
    <n v="0"/>
  </r>
  <r>
    <x v="21"/>
    <x v="0"/>
    <x v="0"/>
    <n v="0.43"/>
    <n v="1"/>
    <n v="1"/>
    <n v="1"/>
    <n v="0"/>
    <n v="0"/>
  </r>
  <r>
    <x v="22"/>
    <x v="0"/>
    <x v="0"/>
    <n v="0.43"/>
    <n v="1"/>
    <n v="1"/>
    <n v="1"/>
    <n v="0"/>
    <n v="0"/>
  </r>
  <r>
    <x v="23"/>
    <x v="0"/>
    <x v="0"/>
    <n v="0.85"/>
    <n v="2"/>
    <n v="1"/>
    <n v="1"/>
    <n v="0"/>
    <n v="0"/>
  </r>
  <r>
    <x v="24"/>
    <x v="0"/>
    <x v="0"/>
    <n v="0.85"/>
    <n v="2"/>
    <n v="1"/>
    <n v="1"/>
    <n v="0"/>
    <n v="0"/>
  </r>
  <r>
    <x v="25"/>
    <x v="0"/>
    <x v="1"/>
    <n v="7.43"/>
    <n v="2"/>
    <n v="1"/>
    <n v="0"/>
    <n v="0"/>
    <n v="0"/>
  </r>
  <r>
    <x v="26"/>
    <x v="0"/>
    <x v="0"/>
    <n v="0.85"/>
    <n v="2"/>
    <n v="1"/>
    <n v="1"/>
    <n v="0"/>
    <n v="0"/>
  </r>
  <r>
    <x v="27"/>
    <x v="0"/>
    <x v="0"/>
    <n v="0.85"/>
    <n v="2"/>
    <n v="1"/>
    <n v="1"/>
    <n v="0"/>
    <n v="0"/>
  </r>
  <r>
    <x v="26"/>
    <x v="0"/>
    <x v="0"/>
    <n v="0.85"/>
    <n v="2"/>
    <n v="0"/>
    <n v="0"/>
    <n v="0"/>
    <n v="0"/>
  </r>
  <r>
    <x v="28"/>
    <x v="0"/>
    <x v="0"/>
    <n v="0.85"/>
    <n v="2"/>
    <n v="1"/>
    <n v="1"/>
    <n v="0"/>
    <n v="0"/>
  </r>
  <r>
    <x v="10"/>
    <x v="0"/>
    <x v="0"/>
    <n v="0.85"/>
    <n v="2"/>
    <n v="0"/>
    <n v="0"/>
    <n v="0"/>
    <n v="0"/>
  </r>
  <r>
    <x v="29"/>
    <x v="0"/>
    <x v="2"/>
    <n v="7.43"/>
    <n v="2"/>
    <n v="1"/>
    <n v="0"/>
    <n v="0"/>
    <n v="0"/>
  </r>
  <r>
    <x v="22"/>
    <x v="0"/>
    <x v="0"/>
    <n v="0.85"/>
    <n v="2"/>
    <n v="0"/>
    <n v="0"/>
    <n v="0"/>
    <n v="0"/>
  </r>
  <r>
    <x v="30"/>
    <x v="0"/>
    <x v="0"/>
    <n v="0.85"/>
    <n v="2"/>
    <n v="1"/>
    <n v="1"/>
    <n v="0"/>
    <n v="0"/>
  </r>
  <r>
    <x v="31"/>
    <x v="0"/>
    <x v="0"/>
    <n v="0.85"/>
    <n v="2"/>
    <n v="1"/>
    <n v="1"/>
    <n v="0"/>
    <n v="0"/>
  </r>
  <r>
    <x v="32"/>
    <x v="0"/>
    <x v="0"/>
    <n v="0.85"/>
    <n v="2"/>
    <n v="1"/>
    <n v="1"/>
    <n v="0"/>
    <n v="0"/>
  </r>
  <r>
    <x v="1"/>
    <x v="0"/>
    <x v="0"/>
    <n v="0.85"/>
    <n v="2"/>
    <n v="0"/>
    <n v="0"/>
    <n v="0"/>
    <n v="0"/>
  </r>
  <r>
    <x v="33"/>
    <x v="0"/>
    <x v="0"/>
    <n v="0.85"/>
    <n v="2"/>
    <n v="1"/>
    <n v="1"/>
    <n v="0"/>
    <n v="0"/>
  </r>
  <r>
    <x v="34"/>
    <x v="0"/>
    <x v="0"/>
    <n v="0.85"/>
    <n v="2"/>
    <n v="1"/>
    <n v="1"/>
    <n v="0"/>
    <n v="0"/>
  </r>
  <r>
    <x v="35"/>
    <x v="0"/>
    <x v="0"/>
    <n v="0.85"/>
    <n v="2"/>
    <n v="1"/>
    <n v="1"/>
    <n v="0"/>
    <n v="0"/>
  </r>
  <r>
    <x v="36"/>
    <x v="0"/>
    <x v="0"/>
    <n v="0.85"/>
    <n v="2"/>
    <n v="1"/>
    <n v="1"/>
    <n v="0"/>
    <n v="0"/>
  </r>
  <r>
    <x v="37"/>
    <x v="0"/>
    <x v="0"/>
    <n v="1.28"/>
    <n v="3"/>
    <n v="1"/>
    <n v="1"/>
    <n v="0"/>
    <n v="0"/>
  </r>
  <r>
    <x v="38"/>
    <x v="0"/>
    <x v="0"/>
    <n v="1.28"/>
    <n v="3"/>
    <n v="1"/>
    <n v="1"/>
    <n v="0"/>
    <n v="0"/>
  </r>
  <r>
    <x v="39"/>
    <x v="0"/>
    <x v="0"/>
    <n v="1.28"/>
    <n v="3"/>
    <n v="1"/>
    <n v="1"/>
    <n v="0"/>
    <n v="0"/>
  </r>
  <r>
    <x v="40"/>
    <x v="0"/>
    <x v="0"/>
    <n v="1.28"/>
    <n v="3"/>
    <n v="1"/>
    <n v="1"/>
    <n v="0"/>
    <n v="0"/>
  </r>
  <r>
    <x v="41"/>
    <x v="0"/>
    <x v="0"/>
    <n v="1.28"/>
    <n v="3"/>
    <n v="1"/>
    <n v="1"/>
    <n v="0"/>
    <n v="0"/>
  </r>
  <r>
    <x v="42"/>
    <x v="0"/>
    <x v="0"/>
    <n v="1.28"/>
    <n v="3"/>
    <n v="1"/>
    <n v="1"/>
    <n v="0"/>
    <n v="0"/>
  </r>
  <r>
    <x v="40"/>
    <x v="0"/>
    <x v="0"/>
    <n v="1.7"/>
    <n v="4"/>
    <n v="0"/>
    <n v="0"/>
    <n v="0"/>
    <n v="0"/>
  </r>
  <r>
    <x v="43"/>
    <x v="0"/>
    <x v="0"/>
    <n v="1.7"/>
    <n v="4"/>
    <n v="1"/>
    <n v="1"/>
    <n v="0"/>
    <n v="0"/>
  </r>
  <r>
    <x v="28"/>
    <x v="0"/>
    <x v="0"/>
    <n v="1.7"/>
    <n v="4"/>
    <n v="0"/>
    <n v="0"/>
    <n v="0"/>
    <n v="0"/>
  </r>
  <r>
    <x v="21"/>
    <x v="0"/>
    <x v="0"/>
    <n v="1.7"/>
    <n v="4"/>
    <n v="0"/>
    <n v="0"/>
    <n v="0"/>
    <n v="0"/>
  </r>
  <r>
    <x v="8"/>
    <x v="0"/>
    <x v="1"/>
    <n v="7.43"/>
    <n v="4"/>
    <n v="0"/>
    <n v="0"/>
    <n v="0"/>
    <n v="0"/>
  </r>
  <r>
    <x v="44"/>
    <x v="0"/>
    <x v="0"/>
    <n v="1.7"/>
    <n v="4"/>
    <n v="1"/>
    <n v="1"/>
    <n v="0"/>
    <n v="0"/>
  </r>
  <r>
    <x v="45"/>
    <x v="0"/>
    <x v="1"/>
    <n v="7.43"/>
    <n v="4"/>
    <n v="1"/>
    <n v="0"/>
    <n v="0"/>
    <n v="0"/>
  </r>
  <r>
    <x v="3"/>
    <x v="0"/>
    <x v="0"/>
    <n v="1.7"/>
    <n v="4"/>
    <n v="0"/>
    <n v="0"/>
    <n v="0"/>
    <n v="0"/>
  </r>
  <r>
    <x v="23"/>
    <x v="0"/>
    <x v="0"/>
    <n v="1.7"/>
    <n v="4"/>
    <n v="0"/>
    <n v="0"/>
    <n v="0"/>
    <n v="0"/>
  </r>
  <r>
    <x v="46"/>
    <x v="0"/>
    <x v="0"/>
    <n v="1.7"/>
    <n v="4"/>
    <n v="1"/>
    <n v="1"/>
    <n v="0"/>
    <n v="0"/>
  </r>
  <r>
    <x v="5"/>
    <x v="0"/>
    <x v="0"/>
    <n v="1.7"/>
    <n v="4"/>
    <n v="0"/>
    <n v="0"/>
    <n v="0"/>
    <n v="0"/>
  </r>
  <r>
    <x v="9"/>
    <x v="0"/>
    <x v="1"/>
    <n v="7.43"/>
    <n v="5"/>
    <n v="0"/>
    <n v="0"/>
    <n v="0"/>
    <n v="0"/>
  </r>
  <r>
    <x v="43"/>
    <x v="0"/>
    <x v="0"/>
    <n v="2.13"/>
    <n v="5"/>
    <n v="0"/>
    <n v="0"/>
    <n v="0"/>
    <n v="0"/>
  </r>
  <r>
    <x v="37"/>
    <x v="0"/>
    <x v="0"/>
    <n v="2.13"/>
    <n v="5"/>
    <n v="0"/>
    <n v="0"/>
    <n v="0"/>
    <n v="0"/>
  </r>
  <r>
    <x v="47"/>
    <x v="0"/>
    <x v="0"/>
    <n v="2.13"/>
    <n v="5"/>
    <n v="1"/>
    <n v="1"/>
    <n v="0"/>
    <n v="0"/>
  </r>
  <r>
    <x v="48"/>
    <x v="0"/>
    <x v="0"/>
    <n v="2.13"/>
    <n v="5"/>
    <n v="1"/>
    <n v="1"/>
    <n v="0"/>
    <n v="0"/>
  </r>
  <r>
    <x v="49"/>
    <x v="0"/>
    <x v="0"/>
    <n v="2.13"/>
    <n v="5"/>
    <n v="1"/>
    <n v="1"/>
    <n v="0"/>
    <n v="0"/>
  </r>
  <r>
    <x v="43"/>
    <x v="0"/>
    <x v="0"/>
    <n v="2.13"/>
    <n v="5"/>
    <n v="0"/>
    <n v="0"/>
    <n v="0"/>
    <n v="0"/>
  </r>
  <r>
    <x v="50"/>
    <x v="0"/>
    <x v="2"/>
    <n v="7.43"/>
    <n v="5"/>
    <n v="1"/>
    <n v="0"/>
    <n v="0"/>
    <n v="0"/>
  </r>
  <r>
    <x v="20"/>
    <x v="0"/>
    <x v="1"/>
    <n v="7.43"/>
    <n v="6"/>
    <n v="0"/>
    <n v="0"/>
    <n v="0"/>
    <n v="0"/>
  </r>
  <r>
    <x v="44"/>
    <x v="0"/>
    <x v="0"/>
    <n v="2.56"/>
    <n v="6"/>
    <n v="0"/>
    <n v="0"/>
    <n v="0"/>
    <n v="0"/>
  </r>
  <r>
    <x v="7"/>
    <x v="0"/>
    <x v="0"/>
    <n v="2.56"/>
    <n v="6"/>
    <n v="0"/>
    <n v="0"/>
    <n v="0"/>
    <n v="0"/>
  </r>
  <r>
    <x v="51"/>
    <x v="0"/>
    <x v="3"/>
    <n v="24.5"/>
    <n v="6"/>
    <n v="1"/>
    <n v="0"/>
    <n v="0"/>
    <n v="0"/>
  </r>
  <r>
    <x v="48"/>
    <x v="0"/>
    <x v="0"/>
    <n v="2.56"/>
    <n v="6"/>
    <n v="0"/>
    <n v="0"/>
    <n v="0"/>
    <n v="0"/>
  </r>
  <r>
    <x v="52"/>
    <x v="0"/>
    <x v="0"/>
    <n v="0.83"/>
    <n v="6"/>
    <n v="1"/>
    <n v="1"/>
    <n v="0"/>
    <n v="0"/>
  </r>
  <r>
    <x v="53"/>
    <x v="0"/>
    <x v="0"/>
    <n v="2.56"/>
    <n v="6"/>
    <n v="1"/>
    <n v="1"/>
    <n v="0"/>
    <n v="0"/>
  </r>
  <r>
    <x v="41"/>
    <x v="0"/>
    <x v="0"/>
    <n v="2.98"/>
    <n v="7"/>
    <n v="0"/>
    <n v="0"/>
    <n v="0"/>
    <n v="0"/>
  </r>
  <r>
    <x v="50"/>
    <x v="0"/>
    <x v="0"/>
    <n v="2.98"/>
    <n v="7"/>
    <n v="0"/>
    <n v="1"/>
    <n v="0"/>
    <n v="0"/>
  </r>
  <r>
    <x v="17"/>
    <x v="0"/>
    <x v="0"/>
    <n v="2.98"/>
    <n v="7"/>
    <n v="0"/>
    <n v="0"/>
    <n v="0"/>
    <n v="0"/>
  </r>
  <r>
    <x v="24"/>
    <x v="0"/>
    <x v="0"/>
    <n v="0"/>
    <n v="7"/>
    <n v="0"/>
    <n v="0"/>
    <n v="0"/>
    <n v="0"/>
  </r>
  <r>
    <x v="54"/>
    <x v="0"/>
    <x v="0"/>
    <n v="2.98"/>
    <n v="7"/>
    <n v="1"/>
    <n v="1"/>
    <n v="0"/>
    <n v="0"/>
  </r>
  <r>
    <x v="16"/>
    <x v="0"/>
    <x v="0"/>
    <n v="2.98"/>
    <n v="7"/>
    <n v="0"/>
    <n v="1"/>
    <n v="0"/>
    <n v="0"/>
  </r>
  <r>
    <x v="42"/>
    <x v="0"/>
    <x v="0"/>
    <n v="2.98"/>
    <n v="7"/>
    <n v="0"/>
    <n v="0"/>
    <n v="0"/>
    <n v="0"/>
  </r>
  <r>
    <x v="46"/>
    <x v="0"/>
    <x v="0"/>
    <n v="3.41"/>
    <n v="8"/>
    <n v="0"/>
    <n v="0"/>
    <n v="0"/>
    <n v="0"/>
  </r>
  <r>
    <x v="55"/>
    <x v="0"/>
    <x v="0"/>
    <n v="3.41"/>
    <n v="8"/>
    <n v="1"/>
    <n v="1"/>
    <n v="0"/>
    <n v="0"/>
  </r>
  <r>
    <x v="8"/>
    <x v="0"/>
    <x v="1"/>
    <n v="7.43"/>
    <n v="8"/>
    <n v="0"/>
    <n v="0"/>
    <n v="0"/>
    <n v="0"/>
  </r>
  <r>
    <x v="56"/>
    <x v="0"/>
    <x v="0"/>
    <n v="3.41"/>
    <n v="8"/>
    <n v="1"/>
    <n v="1"/>
    <n v="0"/>
    <n v="0"/>
  </r>
  <r>
    <x v="44"/>
    <x v="0"/>
    <x v="0"/>
    <n v="3.41"/>
    <n v="8"/>
    <n v="0"/>
    <n v="0"/>
    <n v="0"/>
    <n v="0"/>
  </r>
  <r>
    <x v="6"/>
    <x v="0"/>
    <x v="0"/>
    <n v="3.41"/>
    <n v="8"/>
    <n v="0"/>
    <n v="0"/>
    <n v="0"/>
    <n v="0"/>
  </r>
  <r>
    <x v="26"/>
    <x v="0"/>
    <x v="0"/>
    <n v="3.41"/>
    <n v="8"/>
    <n v="0"/>
    <n v="0"/>
    <n v="0"/>
    <n v="0"/>
  </r>
  <r>
    <x v="57"/>
    <x v="0"/>
    <x v="0"/>
    <n v="3.41"/>
    <n v="8"/>
    <n v="1"/>
    <n v="1"/>
    <n v="0"/>
    <n v="0"/>
  </r>
  <r>
    <x v="58"/>
    <x v="0"/>
    <x v="0"/>
    <n v="3.41"/>
    <n v="8"/>
    <n v="1"/>
    <n v="1"/>
    <n v="0"/>
    <n v="0"/>
  </r>
  <r>
    <x v="59"/>
    <x v="0"/>
    <x v="0"/>
    <n v="3.41"/>
    <n v="8"/>
    <n v="1"/>
    <n v="1"/>
    <n v="0"/>
    <n v="0"/>
  </r>
  <r>
    <x v="60"/>
    <x v="0"/>
    <x v="0"/>
    <n v="3.41"/>
    <n v="8"/>
    <n v="1"/>
    <n v="1"/>
    <n v="0"/>
    <n v="0"/>
  </r>
  <r>
    <x v="61"/>
    <x v="0"/>
    <x v="0"/>
    <n v="3.41"/>
    <n v="8"/>
    <n v="1"/>
    <n v="1"/>
    <n v="0"/>
    <n v="0"/>
  </r>
  <r>
    <x v="26"/>
    <x v="0"/>
    <x v="2"/>
    <n v="7.43"/>
    <n v="9"/>
    <n v="0"/>
    <n v="0"/>
    <n v="0"/>
    <n v="0"/>
  </r>
  <r>
    <x v="21"/>
    <x v="0"/>
    <x v="0"/>
    <n v="3.84"/>
    <n v="9"/>
    <n v="0"/>
    <n v="0"/>
    <n v="0"/>
    <n v="0"/>
  </r>
  <r>
    <x v="62"/>
    <x v="0"/>
    <x v="0"/>
    <n v="3.84"/>
    <n v="9"/>
    <n v="1"/>
    <n v="1"/>
    <n v="0"/>
    <n v="0"/>
  </r>
  <r>
    <x v="37"/>
    <x v="0"/>
    <x v="3"/>
    <n v="24.5"/>
    <n v="9"/>
    <n v="0"/>
    <n v="0"/>
    <n v="0"/>
    <n v="0"/>
  </r>
  <r>
    <x v="19"/>
    <x v="0"/>
    <x v="0"/>
    <n v="3.84"/>
    <n v="9"/>
    <n v="0"/>
    <n v="0"/>
    <n v="0"/>
    <n v="0"/>
  </r>
  <r>
    <x v="63"/>
    <x v="0"/>
    <x v="0"/>
    <n v="3.84"/>
    <n v="9"/>
    <n v="1"/>
    <n v="1"/>
    <n v="0"/>
    <n v="0"/>
  </r>
  <r>
    <x v="55"/>
    <x v="0"/>
    <x v="0"/>
    <n v="3.84"/>
    <n v="9"/>
    <n v="0"/>
    <n v="0"/>
    <n v="0"/>
    <n v="0"/>
  </r>
  <r>
    <x v="33"/>
    <x v="0"/>
    <x v="0"/>
    <n v="3.84"/>
    <n v="9"/>
    <n v="0"/>
    <n v="0"/>
    <n v="0"/>
    <n v="0"/>
  </r>
  <r>
    <x v="18"/>
    <x v="0"/>
    <x v="3"/>
    <n v="24.5"/>
    <n v="9"/>
    <n v="0"/>
    <n v="0"/>
    <n v="0"/>
    <n v="0"/>
  </r>
  <r>
    <x v="54"/>
    <x v="0"/>
    <x v="0"/>
    <n v="3.84"/>
    <n v="9"/>
    <n v="0"/>
    <n v="0"/>
    <n v="0"/>
    <n v="0"/>
  </r>
  <r>
    <x v="64"/>
    <x v="0"/>
    <x v="0"/>
    <n v="3.84"/>
    <n v="9"/>
    <n v="1"/>
    <n v="1"/>
    <n v="0"/>
    <n v="0"/>
  </r>
  <r>
    <x v="40"/>
    <x v="0"/>
    <x v="0"/>
    <n v="3.84"/>
    <n v="9"/>
    <n v="0"/>
    <n v="0"/>
    <n v="0"/>
    <n v="0"/>
  </r>
  <r>
    <x v="65"/>
    <x v="0"/>
    <x v="0"/>
    <n v="3.84"/>
    <n v="9"/>
    <n v="1"/>
    <n v="1"/>
    <n v="0"/>
    <n v="0"/>
  </r>
  <r>
    <x v="66"/>
    <x v="0"/>
    <x v="0"/>
    <n v="3.84"/>
    <n v="9"/>
    <n v="1"/>
    <n v="1"/>
    <n v="0"/>
    <n v="0"/>
  </r>
  <r>
    <x v="58"/>
    <x v="0"/>
    <x v="0"/>
    <n v="3.84"/>
    <n v="9"/>
    <n v="0"/>
    <n v="0"/>
    <n v="0"/>
    <n v="0"/>
  </r>
  <r>
    <x v="42"/>
    <x v="0"/>
    <x v="0"/>
    <n v="3.84"/>
    <n v="9"/>
    <n v="0"/>
    <n v="0"/>
    <n v="0"/>
    <n v="0"/>
  </r>
  <r>
    <x v="67"/>
    <x v="0"/>
    <x v="0"/>
    <n v="3.84"/>
    <n v="9"/>
    <n v="1"/>
    <n v="1"/>
    <n v="0"/>
    <n v="0"/>
  </r>
  <r>
    <x v="58"/>
    <x v="0"/>
    <x v="0"/>
    <n v="3.84"/>
    <n v="9"/>
    <n v="0"/>
    <n v="0"/>
    <n v="0"/>
    <n v="0"/>
  </r>
  <r>
    <x v="22"/>
    <x v="0"/>
    <x v="0"/>
    <n v="3.84"/>
    <n v="9"/>
    <n v="0"/>
    <n v="0"/>
    <n v="0"/>
    <n v="0"/>
  </r>
  <r>
    <x v="20"/>
    <x v="0"/>
    <x v="0"/>
    <n v="4.26"/>
    <n v="10"/>
    <n v="0"/>
    <n v="0"/>
    <n v="0"/>
    <n v="0"/>
  </r>
  <r>
    <x v="41"/>
    <x v="0"/>
    <x v="0"/>
    <n v="4.26"/>
    <n v="10"/>
    <n v="0"/>
    <n v="0"/>
    <n v="0"/>
    <n v="0"/>
  </r>
  <r>
    <x v="25"/>
    <x v="0"/>
    <x v="3"/>
    <n v="24.5"/>
    <n v="10"/>
    <n v="0"/>
    <n v="0"/>
    <n v="0"/>
    <n v="0"/>
  </r>
  <r>
    <x v="68"/>
    <x v="0"/>
    <x v="0"/>
    <n v="4.26"/>
    <n v="10"/>
    <n v="1"/>
    <n v="1"/>
    <n v="0"/>
    <n v="0"/>
  </r>
  <r>
    <x v="0"/>
    <x v="0"/>
    <x v="0"/>
    <n v="4.26"/>
    <n v="10"/>
    <n v="0"/>
    <n v="0"/>
    <n v="0"/>
    <n v="0"/>
  </r>
  <r>
    <x v="69"/>
    <x v="0"/>
    <x v="0"/>
    <n v="4.26"/>
    <n v="10"/>
    <n v="1"/>
    <n v="1"/>
    <n v="0"/>
    <n v="0"/>
  </r>
  <r>
    <x v="70"/>
    <x v="0"/>
    <x v="0"/>
    <n v="4.26"/>
    <n v="10"/>
    <n v="1"/>
    <n v="1"/>
    <n v="0"/>
    <n v="0"/>
  </r>
  <r>
    <x v="57"/>
    <x v="0"/>
    <x v="0"/>
    <n v="4.26"/>
    <n v="10"/>
    <n v="0"/>
    <n v="0"/>
    <n v="0"/>
    <n v="0"/>
  </r>
  <r>
    <x v="71"/>
    <x v="0"/>
    <x v="0"/>
    <n v="4.26"/>
    <n v="10"/>
    <n v="1"/>
    <n v="1"/>
    <n v="0"/>
    <n v="0"/>
  </r>
  <r>
    <x v="72"/>
    <x v="0"/>
    <x v="1"/>
    <n v="7.43"/>
    <n v="10"/>
    <n v="1"/>
    <n v="0"/>
    <n v="0"/>
    <n v="0"/>
  </r>
  <r>
    <x v="61"/>
    <x v="0"/>
    <x v="0"/>
    <n v="4.26"/>
    <n v="10"/>
    <n v="0"/>
    <n v="0"/>
    <n v="0"/>
    <n v="0"/>
  </r>
  <r>
    <x v="13"/>
    <x v="0"/>
    <x v="0"/>
    <n v="4.26"/>
    <n v="10"/>
    <n v="0"/>
    <n v="0"/>
    <n v="0"/>
    <n v="0"/>
  </r>
  <r>
    <x v="7"/>
    <x v="0"/>
    <x v="0"/>
    <n v="4.26"/>
    <n v="10"/>
    <n v="0"/>
    <n v="0"/>
    <n v="0"/>
    <n v="0"/>
  </r>
  <r>
    <x v="71"/>
    <x v="0"/>
    <x v="0"/>
    <n v="4.26"/>
    <n v="10"/>
    <n v="0"/>
    <n v="0"/>
    <n v="0"/>
    <n v="0"/>
  </r>
  <r>
    <x v="73"/>
    <x v="0"/>
    <x v="0"/>
    <n v="4.26"/>
    <n v="10"/>
    <n v="1"/>
    <n v="1"/>
    <n v="0"/>
    <n v="0"/>
  </r>
  <r>
    <x v="22"/>
    <x v="0"/>
    <x v="0"/>
    <n v="4.26"/>
    <n v="10"/>
    <n v="0"/>
    <n v="0"/>
    <n v="0"/>
    <n v="0"/>
  </r>
  <r>
    <x v="44"/>
    <x v="0"/>
    <x v="0"/>
    <n v="4.6900000000000004"/>
    <n v="11"/>
    <n v="0"/>
    <n v="0"/>
    <n v="0"/>
    <n v="0"/>
  </r>
  <r>
    <x v="51"/>
    <x v="0"/>
    <x v="0"/>
    <n v="4.6900000000000004"/>
    <n v="11"/>
    <n v="0"/>
    <n v="1"/>
    <n v="0"/>
    <n v="0"/>
  </r>
  <r>
    <x v="12"/>
    <x v="0"/>
    <x v="0"/>
    <n v="4.6900000000000004"/>
    <n v="11"/>
    <n v="0"/>
    <n v="1"/>
    <n v="0"/>
    <n v="0"/>
  </r>
  <r>
    <x v="56"/>
    <x v="0"/>
    <x v="3"/>
    <n v="24.5"/>
    <n v="11"/>
    <n v="0"/>
    <n v="0"/>
    <n v="0"/>
    <n v="0"/>
  </r>
  <r>
    <x v="5"/>
    <x v="0"/>
    <x v="0"/>
    <n v="4.6900000000000004"/>
    <n v="11"/>
    <n v="0"/>
    <n v="0"/>
    <n v="0"/>
    <n v="0"/>
  </r>
  <r>
    <x v="20"/>
    <x v="0"/>
    <x v="0"/>
    <n v="4.6900000000000004"/>
    <n v="11"/>
    <n v="0"/>
    <n v="0"/>
    <n v="0"/>
    <n v="0"/>
  </r>
  <r>
    <x v="6"/>
    <x v="0"/>
    <x v="0"/>
    <n v="4.6900000000000004"/>
    <n v="11"/>
    <n v="0"/>
    <n v="0"/>
    <n v="0"/>
    <n v="0"/>
  </r>
  <r>
    <x v="31"/>
    <x v="0"/>
    <x v="3"/>
    <n v="24.5"/>
    <n v="11"/>
    <n v="0"/>
    <n v="0"/>
    <n v="0"/>
    <n v="0"/>
  </r>
  <r>
    <x v="11"/>
    <x v="0"/>
    <x v="0"/>
    <n v="4.6900000000000004"/>
    <n v="11"/>
    <n v="0"/>
    <n v="0"/>
    <n v="0"/>
    <n v="0"/>
  </r>
  <r>
    <x v="67"/>
    <x v="0"/>
    <x v="0"/>
    <n v="4.6900000000000004"/>
    <n v="11"/>
    <n v="0"/>
    <n v="0"/>
    <n v="0"/>
    <n v="0"/>
  </r>
  <r>
    <x v="24"/>
    <x v="0"/>
    <x v="0"/>
    <n v="4.6900000000000004"/>
    <n v="11"/>
    <n v="0"/>
    <n v="0"/>
    <n v="0"/>
    <n v="0"/>
  </r>
  <r>
    <x v="74"/>
    <x v="0"/>
    <x v="0"/>
    <n v="4.6900000000000004"/>
    <n v="11"/>
    <n v="1"/>
    <n v="1"/>
    <n v="0"/>
    <n v="0"/>
  </r>
  <r>
    <x v="29"/>
    <x v="0"/>
    <x v="0"/>
    <n v="4.6900000000000004"/>
    <n v="11"/>
    <n v="0"/>
    <n v="1"/>
    <n v="0"/>
    <n v="0"/>
  </r>
  <r>
    <x v="49"/>
    <x v="0"/>
    <x v="0"/>
    <n v="4.6900000000000004"/>
    <n v="11"/>
    <n v="0"/>
    <n v="0"/>
    <n v="0"/>
    <n v="0"/>
  </r>
  <r>
    <x v="75"/>
    <x v="0"/>
    <x v="0"/>
    <n v="4.6900000000000004"/>
    <n v="11"/>
    <n v="1"/>
    <n v="1"/>
    <n v="0"/>
    <n v="0"/>
  </r>
  <r>
    <x v="25"/>
    <x v="0"/>
    <x v="0"/>
    <n v="4.6900000000000004"/>
    <n v="11"/>
    <n v="0"/>
    <n v="1"/>
    <n v="0"/>
    <n v="0"/>
  </r>
  <r>
    <x v="14"/>
    <x v="0"/>
    <x v="0"/>
    <n v="4.6900000000000004"/>
    <n v="11"/>
    <n v="0"/>
    <n v="0"/>
    <n v="0"/>
    <n v="0"/>
  </r>
  <r>
    <x v="76"/>
    <x v="0"/>
    <x v="0"/>
    <n v="4.6900000000000004"/>
    <n v="11"/>
    <n v="1"/>
    <n v="1"/>
    <n v="0"/>
    <n v="0"/>
  </r>
  <r>
    <x v="68"/>
    <x v="0"/>
    <x v="0"/>
    <n v="5.1100000000000003"/>
    <n v="12"/>
    <n v="0"/>
    <n v="0"/>
    <n v="0"/>
    <n v="0"/>
  </r>
  <r>
    <x v="5"/>
    <x v="0"/>
    <x v="0"/>
    <n v="5.1100000000000003"/>
    <n v="12"/>
    <n v="0"/>
    <n v="0"/>
    <n v="0"/>
    <n v="0"/>
  </r>
  <r>
    <x v="68"/>
    <x v="0"/>
    <x v="0"/>
    <n v="5.1100000000000003"/>
    <n v="12"/>
    <n v="0"/>
    <n v="0"/>
    <n v="0"/>
    <n v="0"/>
  </r>
  <r>
    <x v="0"/>
    <x v="0"/>
    <x v="0"/>
    <n v="5.1100000000000003"/>
    <n v="12"/>
    <n v="0"/>
    <n v="0"/>
    <n v="0"/>
    <n v="0"/>
  </r>
  <r>
    <x v="61"/>
    <x v="0"/>
    <x v="0"/>
    <n v="5.1100000000000003"/>
    <n v="12"/>
    <n v="0"/>
    <n v="0"/>
    <n v="0"/>
    <n v="0"/>
  </r>
  <r>
    <x v="77"/>
    <x v="0"/>
    <x v="0"/>
    <n v="5.1100000000000003"/>
    <n v="12"/>
    <n v="1"/>
    <n v="1"/>
    <n v="0"/>
    <n v="0"/>
  </r>
  <r>
    <x v="78"/>
    <x v="0"/>
    <x v="0"/>
    <n v="5.1100000000000003"/>
    <n v="12"/>
    <n v="1"/>
    <n v="1"/>
    <n v="0"/>
    <n v="0"/>
  </r>
  <r>
    <x v="79"/>
    <x v="0"/>
    <x v="0"/>
    <n v="5.1100000000000003"/>
    <n v="12"/>
    <n v="1"/>
    <n v="1"/>
    <n v="0"/>
    <n v="0"/>
  </r>
  <r>
    <x v="80"/>
    <x v="0"/>
    <x v="1"/>
    <n v="14.87"/>
    <n v="12"/>
    <n v="1"/>
    <n v="0"/>
    <n v="0"/>
    <n v="0"/>
  </r>
  <r>
    <x v="81"/>
    <x v="0"/>
    <x v="0"/>
    <n v="5.1100000000000003"/>
    <n v="12"/>
    <n v="1"/>
    <n v="1"/>
    <n v="0"/>
    <n v="0"/>
  </r>
  <r>
    <x v="82"/>
    <x v="0"/>
    <x v="1"/>
    <n v="14.87"/>
    <n v="12"/>
    <n v="1"/>
    <n v="0"/>
    <n v="0"/>
    <n v="0"/>
  </r>
  <r>
    <x v="83"/>
    <x v="0"/>
    <x v="0"/>
    <n v="5.1100000000000003"/>
    <n v="12"/>
    <n v="1"/>
    <n v="1"/>
    <n v="0"/>
    <n v="0"/>
  </r>
  <r>
    <x v="51"/>
    <x v="0"/>
    <x v="0"/>
    <n v="5.1100000000000003"/>
    <n v="12"/>
    <n v="0"/>
    <n v="0"/>
    <n v="0"/>
    <n v="0"/>
  </r>
  <r>
    <x v="44"/>
    <x v="0"/>
    <x v="0"/>
    <n v="5.1100000000000003"/>
    <n v="12"/>
    <n v="0"/>
    <n v="0"/>
    <n v="0"/>
    <n v="0"/>
  </r>
  <r>
    <x v="6"/>
    <x v="0"/>
    <x v="0"/>
    <n v="5.1100000000000003"/>
    <n v="12"/>
    <n v="0"/>
    <n v="0"/>
    <n v="0"/>
    <n v="0"/>
  </r>
  <r>
    <x v="76"/>
    <x v="0"/>
    <x v="0"/>
    <n v="5.1100000000000003"/>
    <n v="12"/>
    <n v="0"/>
    <n v="0"/>
    <n v="0"/>
    <n v="0"/>
  </r>
  <r>
    <x v="84"/>
    <x v="0"/>
    <x v="0"/>
    <n v="5.54"/>
    <n v="13"/>
    <n v="1"/>
    <n v="1"/>
    <n v="0"/>
    <n v="0"/>
  </r>
  <r>
    <x v="85"/>
    <x v="0"/>
    <x v="0"/>
    <n v="5.54"/>
    <n v="13"/>
    <n v="1"/>
    <n v="1"/>
    <n v="0"/>
    <n v="0"/>
  </r>
  <r>
    <x v="75"/>
    <x v="0"/>
    <x v="0"/>
    <n v="5.54"/>
    <n v="13"/>
    <n v="0"/>
    <n v="0"/>
    <n v="0"/>
    <n v="0"/>
  </r>
  <r>
    <x v="19"/>
    <x v="0"/>
    <x v="0"/>
    <n v="5.54"/>
    <n v="13"/>
    <n v="0"/>
    <n v="0"/>
    <n v="0"/>
    <n v="0"/>
  </r>
  <r>
    <x v="78"/>
    <x v="0"/>
    <x v="0"/>
    <n v="5.54"/>
    <n v="13"/>
    <n v="0"/>
    <n v="0"/>
    <n v="0"/>
    <n v="0"/>
  </r>
  <r>
    <x v="38"/>
    <x v="0"/>
    <x v="0"/>
    <n v="5.54"/>
    <n v="13"/>
    <n v="0"/>
    <n v="0"/>
    <n v="0"/>
    <n v="0"/>
  </r>
  <r>
    <x v="55"/>
    <x v="0"/>
    <x v="0"/>
    <n v="5.97"/>
    <n v="14"/>
    <n v="0"/>
    <n v="0"/>
    <n v="0"/>
    <n v="0"/>
  </r>
  <r>
    <x v="6"/>
    <x v="0"/>
    <x v="0"/>
    <n v="5.97"/>
    <n v="14"/>
    <n v="0"/>
    <n v="0"/>
    <n v="0"/>
    <n v="0"/>
  </r>
  <r>
    <x v="83"/>
    <x v="0"/>
    <x v="2"/>
    <n v="14.87"/>
    <n v="14"/>
    <n v="0"/>
    <n v="0"/>
    <n v="0"/>
    <n v="0"/>
  </r>
  <r>
    <x v="64"/>
    <x v="0"/>
    <x v="0"/>
    <n v="5.97"/>
    <n v="14"/>
    <n v="0"/>
    <n v="0"/>
    <n v="0"/>
    <n v="0"/>
  </r>
  <r>
    <x v="36"/>
    <x v="0"/>
    <x v="0"/>
    <n v="5.97"/>
    <n v="14"/>
    <n v="0"/>
    <n v="0"/>
    <n v="0"/>
    <n v="0"/>
  </r>
  <r>
    <x v="35"/>
    <x v="0"/>
    <x v="0"/>
    <n v="5.97"/>
    <n v="14"/>
    <n v="0"/>
    <n v="0"/>
    <n v="0"/>
    <n v="0"/>
  </r>
  <r>
    <x v="60"/>
    <x v="0"/>
    <x v="0"/>
    <n v="5.97"/>
    <n v="14"/>
    <n v="0"/>
    <n v="0"/>
    <n v="0"/>
    <n v="0"/>
  </r>
  <r>
    <x v="86"/>
    <x v="0"/>
    <x v="0"/>
    <n v="5.97"/>
    <n v="14"/>
    <n v="1"/>
    <n v="1"/>
    <n v="0"/>
    <n v="0"/>
  </r>
  <r>
    <x v="87"/>
    <x v="0"/>
    <x v="0"/>
    <n v="5.97"/>
    <n v="14"/>
    <n v="1"/>
    <n v="1"/>
    <n v="0"/>
    <n v="0"/>
  </r>
  <r>
    <x v="63"/>
    <x v="0"/>
    <x v="0"/>
    <n v="6.39"/>
    <n v="15"/>
    <n v="0"/>
    <n v="0"/>
    <n v="0"/>
    <n v="0"/>
  </r>
  <r>
    <x v="56"/>
    <x v="0"/>
    <x v="0"/>
    <n v="6.39"/>
    <n v="15"/>
    <n v="0"/>
    <n v="0"/>
    <n v="0"/>
    <n v="0"/>
  </r>
  <r>
    <x v="20"/>
    <x v="0"/>
    <x v="0"/>
    <n v="6.39"/>
    <n v="15"/>
    <n v="0"/>
    <n v="0"/>
    <n v="0"/>
    <n v="0"/>
  </r>
  <r>
    <x v="16"/>
    <x v="0"/>
    <x v="0"/>
    <n v="6.39"/>
    <n v="15"/>
    <n v="0"/>
    <n v="0"/>
    <n v="0"/>
    <n v="0"/>
  </r>
  <r>
    <x v="56"/>
    <x v="0"/>
    <x v="0"/>
    <n v="6.39"/>
    <n v="15"/>
    <n v="0"/>
    <n v="0"/>
    <n v="0"/>
    <n v="0"/>
  </r>
  <r>
    <x v="68"/>
    <x v="0"/>
    <x v="0"/>
    <n v="6.39"/>
    <n v="15"/>
    <n v="0"/>
    <n v="0"/>
    <n v="0"/>
    <n v="0"/>
  </r>
  <r>
    <x v="76"/>
    <x v="0"/>
    <x v="0"/>
    <n v="6.39"/>
    <n v="15"/>
    <n v="0"/>
    <n v="0"/>
    <n v="0"/>
    <n v="0"/>
  </r>
  <r>
    <x v="88"/>
    <x v="0"/>
    <x v="0"/>
    <n v="6.39"/>
    <n v="15"/>
    <n v="1"/>
    <n v="1"/>
    <n v="0"/>
    <n v="0"/>
  </r>
  <r>
    <x v="89"/>
    <x v="0"/>
    <x v="0"/>
    <n v="6.39"/>
    <n v="15"/>
    <n v="1"/>
    <n v="1"/>
    <n v="0"/>
    <n v="0"/>
  </r>
  <r>
    <x v="82"/>
    <x v="0"/>
    <x v="0"/>
    <n v="6.39"/>
    <n v="15"/>
    <n v="0"/>
    <n v="1"/>
    <n v="0"/>
    <n v="0"/>
  </r>
  <r>
    <x v="80"/>
    <x v="0"/>
    <x v="0"/>
    <n v="6.39"/>
    <n v="15"/>
    <n v="0"/>
    <n v="1"/>
    <n v="0"/>
    <n v="0"/>
  </r>
  <r>
    <x v="64"/>
    <x v="0"/>
    <x v="0"/>
    <n v="6.39"/>
    <n v="15"/>
    <n v="0"/>
    <n v="0"/>
    <n v="0"/>
    <n v="0"/>
  </r>
  <r>
    <x v="90"/>
    <x v="0"/>
    <x v="0"/>
    <n v="6.39"/>
    <n v="15"/>
    <n v="1"/>
    <n v="1"/>
    <n v="0"/>
    <n v="0"/>
  </r>
  <r>
    <x v="69"/>
    <x v="0"/>
    <x v="0"/>
    <n v="6.39"/>
    <n v="15"/>
    <n v="0"/>
    <n v="0"/>
    <n v="0"/>
    <n v="0"/>
  </r>
  <r>
    <x v="41"/>
    <x v="0"/>
    <x v="0"/>
    <n v="6.82"/>
    <n v="16"/>
    <n v="0"/>
    <n v="0"/>
    <n v="0"/>
    <n v="0"/>
  </r>
  <r>
    <x v="25"/>
    <x v="0"/>
    <x v="0"/>
    <n v="6.82"/>
    <n v="16"/>
    <n v="0"/>
    <n v="0"/>
    <n v="0"/>
    <n v="0"/>
  </r>
  <r>
    <x v="91"/>
    <x v="0"/>
    <x v="0"/>
    <n v="6.82"/>
    <n v="16"/>
    <n v="1"/>
    <n v="1"/>
    <n v="0"/>
    <n v="0"/>
  </r>
  <r>
    <x v="90"/>
    <x v="0"/>
    <x v="0"/>
    <n v="6.82"/>
    <n v="16"/>
    <n v="0"/>
    <n v="0"/>
    <n v="0"/>
    <n v="0"/>
  </r>
  <r>
    <x v="92"/>
    <x v="0"/>
    <x v="0"/>
    <n v="6.82"/>
    <n v="16"/>
    <n v="1"/>
    <n v="1"/>
    <n v="0"/>
    <n v="0"/>
  </r>
  <r>
    <x v="93"/>
    <x v="0"/>
    <x v="1"/>
    <n v="14.87"/>
    <n v="16"/>
    <n v="1"/>
    <n v="0"/>
    <n v="0"/>
    <n v="0"/>
  </r>
  <r>
    <x v="73"/>
    <x v="0"/>
    <x v="0"/>
    <n v="6.82"/>
    <n v="16"/>
    <n v="0"/>
    <n v="0"/>
    <n v="0"/>
    <n v="0"/>
  </r>
  <r>
    <x v="3"/>
    <x v="0"/>
    <x v="0"/>
    <n v="6.82"/>
    <n v="16"/>
    <n v="0"/>
    <n v="0"/>
    <n v="0"/>
    <n v="0"/>
  </r>
  <r>
    <x v="72"/>
    <x v="0"/>
    <x v="0"/>
    <n v="6.82"/>
    <n v="16"/>
    <n v="0"/>
    <n v="1"/>
    <n v="0"/>
    <n v="0"/>
  </r>
  <r>
    <x v="45"/>
    <x v="0"/>
    <x v="0"/>
    <n v="6.82"/>
    <n v="16"/>
    <n v="0"/>
    <n v="1"/>
    <n v="0"/>
    <n v="0"/>
  </r>
  <r>
    <x v="51"/>
    <x v="0"/>
    <x v="0"/>
    <n v="7.25"/>
    <n v="17"/>
    <n v="0"/>
    <n v="0"/>
    <n v="0"/>
    <n v="0"/>
  </r>
  <r>
    <x v="1"/>
    <x v="0"/>
    <x v="1"/>
    <n v="14.87"/>
    <n v="17"/>
    <n v="0"/>
    <n v="0"/>
    <n v="0"/>
    <n v="0"/>
  </r>
  <r>
    <x v="4"/>
    <x v="0"/>
    <x v="2"/>
    <n v="14.87"/>
    <n v="17"/>
    <n v="0"/>
    <n v="0"/>
    <n v="0"/>
    <n v="0"/>
  </r>
  <r>
    <x v="94"/>
    <x v="0"/>
    <x v="0"/>
    <n v="7.25"/>
    <n v="17"/>
    <n v="1"/>
    <n v="1"/>
    <n v="0"/>
    <n v="0"/>
  </r>
  <r>
    <x v="83"/>
    <x v="0"/>
    <x v="0"/>
    <n v="7.25"/>
    <n v="17"/>
    <n v="0"/>
    <n v="0"/>
    <n v="0"/>
    <n v="0"/>
  </r>
  <r>
    <x v="92"/>
    <x v="0"/>
    <x v="0"/>
    <n v="7.25"/>
    <n v="17"/>
    <n v="0"/>
    <n v="0"/>
    <n v="0"/>
    <n v="0"/>
  </r>
  <r>
    <x v="29"/>
    <x v="0"/>
    <x v="0"/>
    <n v="7.25"/>
    <n v="17"/>
    <n v="0"/>
    <n v="0"/>
    <n v="0"/>
    <n v="0"/>
  </r>
  <r>
    <x v="42"/>
    <x v="0"/>
    <x v="2"/>
    <n v="14.87"/>
    <n v="18"/>
    <n v="0"/>
    <n v="0"/>
    <n v="0"/>
    <n v="0"/>
  </r>
  <r>
    <x v="87"/>
    <x v="0"/>
    <x v="0"/>
    <n v="7.67"/>
    <n v="18"/>
    <n v="0"/>
    <n v="0"/>
    <n v="0"/>
    <n v="0"/>
  </r>
  <r>
    <x v="77"/>
    <x v="0"/>
    <x v="0"/>
    <n v="7.67"/>
    <n v="18"/>
    <n v="0"/>
    <n v="0"/>
    <n v="0"/>
    <n v="0"/>
  </r>
  <r>
    <x v="74"/>
    <x v="0"/>
    <x v="0"/>
    <n v="7.67"/>
    <n v="18"/>
    <n v="0"/>
    <n v="0"/>
    <n v="0"/>
    <n v="0"/>
  </r>
  <r>
    <x v="53"/>
    <x v="0"/>
    <x v="1"/>
    <n v="14.87"/>
    <n v="18"/>
    <n v="0"/>
    <n v="0"/>
    <n v="0"/>
    <n v="0"/>
  </r>
  <r>
    <x v="26"/>
    <x v="0"/>
    <x v="0"/>
    <n v="7.67"/>
    <n v="18"/>
    <n v="0"/>
    <n v="0"/>
    <n v="0"/>
    <n v="0"/>
  </r>
  <r>
    <x v="9"/>
    <x v="0"/>
    <x v="0"/>
    <n v="8.1"/>
    <n v="19"/>
    <n v="0"/>
    <n v="0"/>
    <n v="0"/>
    <n v="0"/>
  </r>
  <r>
    <x v="62"/>
    <x v="0"/>
    <x v="4"/>
    <n v="14.01"/>
    <n v="19"/>
    <n v="0"/>
    <n v="0"/>
    <n v="0"/>
    <n v="0"/>
  </r>
  <r>
    <x v="27"/>
    <x v="0"/>
    <x v="4"/>
    <n v="0"/>
    <n v="19"/>
    <n v="0"/>
    <n v="0"/>
    <n v="0"/>
    <n v="0"/>
  </r>
  <r>
    <x v="8"/>
    <x v="0"/>
    <x v="0"/>
    <n v="8.1"/>
    <n v="19"/>
    <n v="0"/>
    <n v="0"/>
    <n v="0"/>
    <n v="0"/>
  </r>
  <r>
    <x v="34"/>
    <x v="0"/>
    <x v="0"/>
    <n v="8.52"/>
    <n v="20"/>
    <n v="0"/>
    <n v="0"/>
    <n v="0"/>
    <n v="0"/>
  </r>
  <r>
    <x v="86"/>
    <x v="0"/>
    <x v="4"/>
    <n v="0"/>
    <n v="20"/>
    <n v="0"/>
    <n v="0"/>
    <n v="0"/>
    <n v="0"/>
  </r>
  <r>
    <x v="81"/>
    <x v="0"/>
    <x v="0"/>
    <n v="8.52"/>
    <n v="20"/>
    <n v="0"/>
    <n v="0"/>
    <n v="0"/>
    <n v="0"/>
  </r>
  <r>
    <x v="59"/>
    <x v="0"/>
    <x v="0"/>
    <n v="8.52"/>
    <n v="20"/>
    <n v="0"/>
    <n v="0"/>
    <n v="0"/>
    <n v="0"/>
  </r>
  <r>
    <x v="69"/>
    <x v="0"/>
    <x v="0"/>
    <n v="8.52"/>
    <n v="20"/>
    <n v="0"/>
    <n v="0"/>
    <n v="0"/>
    <n v="0"/>
  </r>
  <r>
    <x v="15"/>
    <x v="0"/>
    <x v="0"/>
    <n v="8.9499999999999993"/>
    <n v="21"/>
    <n v="0"/>
    <n v="0"/>
    <n v="0"/>
    <n v="0"/>
  </r>
  <r>
    <x v="65"/>
    <x v="0"/>
    <x v="0"/>
    <n v="8.9499999999999993"/>
    <n v="21"/>
    <n v="0"/>
    <n v="0"/>
    <n v="0"/>
    <n v="0"/>
  </r>
  <r>
    <x v="23"/>
    <x v="0"/>
    <x v="2"/>
    <n v="22.3"/>
    <n v="21"/>
    <n v="0"/>
    <n v="0"/>
    <n v="0"/>
    <n v="0"/>
  </r>
  <r>
    <x v="68"/>
    <x v="0"/>
    <x v="0"/>
    <n v="8.9499999999999993"/>
    <n v="21"/>
    <n v="0"/>
    <n v="0"/>
    <n v="0"/>
    <n v="0"/>
  </r>
  <r>
    <x v="14"/>
    <x v="0"/>
    <x v="0"/>
    <n v="8.9499999999999993"/>
    <n v="21"/>
    <n v="0"/>
    <n v="0"/>
    <n v="0"/>
    <n v="0"/>
  </r>
  <r>
    <x v="79"/>
    <x v="0"/>
    <x v="0"/>
    <n v="9.3800000000000008"/>
    <n v="22"/>
    <n v="0"/>
    <n v="0"/>
    <n v="0"/>
    <n v="0"/>
  </r>
  <r>
    <x v="66"/>
    <x v="0"/>
    <x v="0"/>
    <n v="9.3800000000000008"/>
    <n v="22"/>
    <n v="0"/>
    <n v="0"/>
    <n v="0"/>
    <n v="0"/>
  </r>
  <r>
    <x v="78"/>
    <x v="0"/>
    <x v="0"/>
    <n v="2.5"/>
    <n v="22"/>
    <n v="0"/>
    <n v="0"/>
    <n v="0"/>
    <n v="0"/>
  </r>
  <r>
    <x v="84"/>
    <x v="0"/>
    <x v="0"/>
    <n v="9.3800000000000008"/>
    <n v="22"/>
    <n v="0"/>
    <n v="0"/>
    <n v="0"/>
    <n v="0"/>
  </r>
  <r>
    <x v="70"/>
    <x v="0"/>
    <x v="0"/>
    <n v="9.3800000000000008"/>
    <n v="22"/>
    <n v="0"/>
    <n v="0"/>
    <n v="0"/>
    <n v="0"/>
  </r>
  <r>
    <x v="21"/>
    <x v="0"/>
    <x v="0"/>
    <n v="9.8000000000000007"/>
    <n v="23"/>
    <n v="0"/>
    <n v="0"/>
    <n v="0"/>
    <n v="0"/>
  </r>
  <r>
    <x v="95"/>
    <x v="0"/>
    <x v="0"/>
    <n v="9.8000000000000007"/>
    <n v="23"/>
    <n v="1"/>
    <n v="1"/>
    <n v="0"/>
    <n v="0"/>
  </r>
  <r>
    <x v="85"/>
    <x v="0"/>
    <x v="0"/>
    <n v="9.8000000000000007"/>
    <n v="23"/>
    <n v="0"/>
    <n v="0"/>
    <n v="0"/>
    <n v="0"/>
  </r>
  <r>
    <x v="46"/>
    <x v="0"/>
    <x v="0"/>
    <n v="10.23"/>
    <n v="24"/>
    <n v="0"/>
    <n v="0"/>
    <n v="0"/>
    <n v="0"/>
  </r>
  <r>
    <x v="77"/>
    <x v="0"/>
    <x v="0"/>
    <n v="10.23"/>
    <n v="24"/>
    <n v="0"/>
    <n v="0"/>
    <n v="0"/>
    <n v="0"/>
  </r>
  <r>
    <x v="55"/>
    <x v="0"/>
    <x v="0"/>
    <n v="10.23"/>
    <n v="24"/>
    <n v="0"/>
    <n v="0"/>
    <n v="0"/>
    <n v="0"/>
  </r>
  <r>
    <x v="38"/>
    <x v="0"/>
    <x v="0"/>
    <n v="10.66"/>
    <n v="25"/>
    <n v="0"/>
    <n v="0"/>
    <n v="0"/>
    <n v="0"/>
  </r>
  <r>
    <x v="36"/>
    <x v="0"/>
    <x v="1"/>
    <n v="22.3"/>
    <n v="26"/>
    <n v="0"/>
    <n v="0"/>
    <n v="0"/>
    <n v="0"/>
  </r>
  <r>
    <x v="69"/>
    <x v="0"/>
    <x v="0"/>
    <n v="11.08"/>
    <n v="26"/>
    <n v="0"/>
    <n v="0"/>
    <n v="0"/>
    <n v="0"/>
  </r>
  <r>
    <x v="2"/>
    <x v="0"/>
    <x v="1"/>
    <n v="22.3"/>
    <n v="27"/>
    <n v="0"/>
    <n v="0"/>
    <n v="0"/>
    <n v="0"/>
  </r>
  <r>
    <x v="95"/>
    <x v="0"/>
    <x v="0"/>
    <n v="11.51"/>
    <n v="27"/>
    <n v="0"/>
    <n v="0"/>
    <n v="0"/>
    <n v="0"/>
  </r>
  <r>
    <x v="93"/>
    <x v="0"/>
    <x v="0"/>
    <n v="11.51"/>
    <n v="27"/>
    <n v="0"/>
    <n v="1"/>
    <n v="0"/>
    <n v="0"/>
  </r>
  <r>
    <x v="56"/>
    <x v="0"/>
    <x v="0"/>
    <n v="11.51"/>
    <n v="27"/>
    <n v="0"/>
    <n v="0"/>
    <n v="0"/>
    <n v="0"/>
  </r>
  <r>
    <x v="70"/>
    <x v="0"/>
    <x v="0"/>
    <n v="11.51"/>
    <n v="27"/>
    <n v="0"/>
    <n v="0"/>
    <n v="0"/>
    <n v="0"/>
  </r>
  <r>
    <x v="63"/>
    <x v="0"/>
    <x v="0"/>
    <n v="11.93"/>
    <n v="28"/>
    <n v="0"/>
    <n v="0"/>
    <n v="0"/>
    <n v="0"/>
  </r>
  <r>
    <x v="76"/>
    <x v="0"/>
    <x v="0"/>
    <n v="11.93"/>
    <n v="28"/>
    <n v="0"/>
    <n v="0"/>
    <n v="0"/>
    <n v="0"/>
  </r>
  <r>
    <x v="94"/>
    <x v="0"/>
    <x v="0"/>
    <n v="14.06"/>
    <n v="33"/>
    <n v="0"/>
    <n v="0"/>
    <n v="0"/>
    <n v="0"/>
  </r>
  <r>
    <x v="96"/>
    <x v="1"/>
    <x v="0"/>
    <n v="0.43"/>
    <n v="1"/>
    <n v="1"/>
    <n v="1"/>
    <n v="0"/>
    <n v="1"/>
  </r>
  <r>
    <x v="97"/>
    <x v="1"/>
    <x v="0"/>
    <n v="0.43"/>
    <n v="1"/>
    <n v="1"/>
    <n v="1"/>
    <n v="0"/>
    <n v="1"/>
  </r>
  <r>
    <x v="98"/>
    <x v="1"/>
    <x v="0"/>
    <n v="0.43"/>
    <n v="1"/>
    <n v="1"/>
    <n v="1"/>
    <n v="0"/>
    <n v="1"/>
  </r>
  <r>
    <x v="99"/>
    <x v="1"/>
    <x v="0"/>
    <n v="0.43"/>
    <n v="1"/>
    <n v="1"/>
    <n v="1"/>
    <n v="0"/>
    <n v="1"/>
  </r>
  <r>
    <x v="100"/>
    <x v="1"/>
    <x v="0"/>
    <n v="1.28"/>
    <n v="3"/>
    <n v="1"/>
    <n v="1"/>
    <n v="0"/>
    <n v="1"/>
  </r>
  <r>
    <x v="101"/>
    <x v="1"/>
    <x v="0"/>
    <n v="1.28"/>
    <n v="3"/>
    <n v="1"/>
    <n v="1"/>
    <n v="0"/>
    <n v="1"/>
  </r>
  <r>
    <x v="102"/>
    <x v="1"/>
    <x v="0"/>
    <n v="1.28"/>
    <n v="3"/>
    <n v="1"/>
    <n v="1"/>
    <n v="0"/>
    <n v="1"/>
  </r>
  <r>
    <x v="103"/>
    <x v="1"/>
    <x v="0"/>
    <n v="1.28"/>
    <n v="3"/>
    <n v="1"/>
    <n v="1"/>
    <n v="0"/>
    <n v="1"/>
  </r>
  <r>
    <x v="102"/>
    <x v="1"/>
    <x v="0"/>
    <n v="1.7"/>
    <n v="4"/>
    <n v="0"/>
    <n v="0"/>
    <n v="0"/>
    <n v="0"/>
  </r>
  <r>
    <x v="99"/>
    <x v="1"/>
    <x v="0"/>
    <n v="2.13"/>
    <n v="5"/>
    <n v="0"/>
    <n v="0"/>
    <n v="0"/>
    <n v="0"/>
  </r>
  <r>
    <x v="104"/>
    <x v="1"/>
    <x v="0"/>
    <n v="2.98"/>
    <n v="7"/>
    <n v="1"/>
    <n v="1"/>
    <n v="0"/>
    <n v="1"/>
  </r>
  <r>
    <x v="105"/>
    <x v="1"/>
    <x v="0"/>
    <n v="2.98"/>
    <n v="7"/>
    <n v="1"/>
    <n v="1"/>
    <n v="0"/>
    <n v="1"/>
  </r>
  <r>
    <x v="106"/>
    <x v="1"/>
    <x v="0"/>
    <n v="2.98"/>
    <n v="7"/>
    <n v="1"/>
    <n v="1"/>
    <n v="0"/>
    <n v="1"/>
  </r>
  <r>
    <x v="107"/>
    <x v="1"/>
    <x v="1"/>
    <n v="7.84"/>
    <n v="7"/>
    <n v="1"/>
    <n v="0"/>
    <n v="0"/>
    <n v="1"/>
  </r>
  <r>
    <x v="108"/>
    <x v="1"/>
    <x v="0"/>
    <n v="2.98"/>
    <n v="7"/>
    <n v="1"/>
    <n v="1"/>
    <n v="0"/>
    <n v="1"/>
  </r>
  <r>
    <x v="109"/>
    <x v="1"/>
    <x v="0"/>
    <n v="2.98"/>
    <n v="7"/>
    <n v="1"/>
    <n v="1"/>
    <n v="0"/>
    <n v="1"/>
  </r>
  <r>
    <x v="110"/>
    <x v="1"/>
    <x v="0"/>
    <n v="3.41"/>
    <n v="8"/>
    <n v="1"/>
    <n v="1"/>
    <n v="0"/>
    <n v="1"/>
  </r>
  <r>
    <x v="111"/>
    <x v="1"/>
    <x v="0"/>
    <n v="3.84"/>
    <n v="9"/>
    <n v="1"/>
    <n v="1"/>
    <n v="0"/>
    <n v="1"/>
  </r>
  <r>
    <x v="112"/>
    <x v="1"/>
    <x v="0"/>
    <n v="3.84"/>
    <n v="9"/>
    <n v="1"/>
    <n v="1"/>
    <n v="0"/>
    <n v="1"/>
  </r>
  <r>
    <x v="104"/>
    <x v="1"/>
    <x v="0"/>
    <n v="3.84"/>
    <n v="9"/>
    <n v="0"/>
    <n v="0"/>
    <n v="0"/>
    <n v="0"/>
  </r>
  <r>
    <x v="105"/>
    <x v="1"/>
    <x v="0"/>
    <n v="4.26"/>
    <n v="10"/>
    <n v="0"/>
    <n v="0"/>
    <n v="0"/>
    <n v="0"/>
  </r>
  <r>
    <x v="99"/>
    <x v="1"/>
    <x v="0"/>
    <n v="4.26"/>
    <n v="10"/>
    <n v="0"/>
    <n v="0"/>
    <n v="0"/>
    <n v="0"/>
  </r>
  <r>
    <x v="113"/>
    <x v="1"/>
    <x v="0"/>
    <n v="2.2799999999999998"/>
    <n v="10"/>
    <n v="1"/>
    <n v="1"/>
    <n v="0"/>
    <n v="1"/>
  </r>
  <r>
    <x v="114"/>
    <x v="1"/>
    <x v="0"/>
    <n v="4.26"/>
    <n v="10"/>
    <n v="1"/>
    <n v="1"/>
    <n v="0"/>
    <n v="1"/>
  </r>
  <r>
    <x v="107"/>
    <x v="1"/>
    <x v="1"/>
    <n v="15.68"/>
    <n v="13"/>
    <n v="0"/>
    <n v="0"/>
    <n v="0"/>
    <n v="0"/>
  </r>
  <r>
    <x v="112"/>
    <x v="1"/>
    <x v="0"/>
    <n v="5.54"/>
    <n v="13"/>
    <n v="0"/>
    <n v="0"/>
    <n v="0"/>
    <n v="0"/>
  </r>
  <r>
    <x v="115"/>
    <x v="1"/>
    <x v="0"/>
    <n v="5.97"/>
    <n v="14"/>
    <n v="1"/>
    <n v="1"/>
    <n v="0"/>
    <n v="1"/>
  </r>
  <r>
    <x v="116"/>
    <x v="1"/>
    <x v="0"/>
    <n v="5.97"/>
    <n v="14"/>
    <n v="1"/>
    <n v="1"/>
    <n v="0"/>
    <n v="1"/>
  </r>
  <r>
    <x v="117"/>
    <x v="1"/>
    <x v="0"/>
    <n v="5.97"/>
    <n v="14"/>
    <n v="1"/>
    <n v="1"/>
    <n v="0"/>
    <n v="1"/>
  </r>
  <r>
    <x v="118"/>
    <x v="1"/>
    <x v="0"/>
    <n v="7.25"/>
    <n v="17"/>
    <n v="1"/>
    <n v="1"/>
    <n v="0"/>
    <n v="1"/>
  </r>
  <r>
    <x v="119"/>
    <x v="1"/>
    <x v="0"/>
    <n v="7.25"/>
    <n v="17"/>
    <n v="1"/>
    <n v="1"/>
    <n v="0"/>
    <n v="1"/>
  </r>
  <r>
    <x v="107"/>
    <x v="1"/>
    <x v="1"/>
    <n v="15.68"/>
    <n v="17"/>
    <n v="0"/>
    <n v="0"/>
    <n v="0"/>
    <n v="0"/>
  </r>
  <r>
    <x v="117"/>
    <x v="1"/>
    <x v="0"/>
    <n v="7.67"/>
    <n v="18"/>
    <n v="0"/>
    <n v="0"/>
    <n v="0"/>
    <n v="0"/>
  </r>
  <r>
    <x v="120"/>
    <x v="1"/>
    <x v="0"/>
    <n v="4.33"/>
    <n v="19"/>
    <n v="1"/>
    <n v="1"/>
    <n v="0"/>
    <n v="1"/>
  </r>
  <r>
    <x v="121"/>
    <x v="1"/>
    <x v="0"/>
    <n v="4.33"/>
    <n v="19"/>
    <n v="1"/>
    <n v="1"/>
    <n v="0"/>
    <n v="1"/>
  </r>
  <r>
    <x v="106"/>
    <x v="1"/>
    <x v="0"/>
    <n v="8.1"/>
    <n v="19"/>
    <n v="0"/>
    <n v="0"/>
    <n v="0"/>
    <n v="0"/>
  </r>
  <r>
    <x v="105"/>
    <x v="1"/>
    <x v="0"/>
    <n v="4.33"/>
    <n v="19"/>
    <n v="0"/>
    <n v="0"/>
    <n v="0"/>
    <n v="0"/>
  </r>
  <r>
    <x v="102"/>
    <x v="1"/>
    <x v="0"/>
    <n v="5.0199999999999996"/>
    <n v="22"/>
    <n v="0"/>
    <n v="0"/>
    <n v="0"/>
    <n v="0"/>
  </r>
  <r>
    <x v="110"/>
    <x v="1"/>
    <x v="0"/>
    <n v="9.3800000000000008"/>
    <n v="22"/>
    <n v="0"/>
    <n v="0"/>
    <n v="0"/>
    <n v="0"/>
  </r>
  <r>
    <x v="122"/>
    <x v="1"/>
    <x v="0"/>
    <n v="10.23"/>
    <n v="24"/>
    <n v="1"/>
    <n v="1"/>
    <n v="0"/>
    <n v="1"/>
  </r>
  <r>
    <x v="123"/>
    <x v="1"/>
    <x v="0"/>
    <n v="10.23"/>
    <n v="24"/>
    <n v="1"/>
    <n v="1"/>
    <n v="0"/>
    <n v="1"/>
  </r>
  <r>
    <x v="119"/>
    <x v="1"/>
    <x v="0"/>
    <n v="5.47"/>
    <n v="24"/>
    <n v="0"/>
    <n v="0"/>
    <n v="0"/>
    <n v="0"/>
  </r>
  <r>
    <x v="115"/>
    <x v="1"/>
    <x v="2"/>
    <n v="23.52"/>
    <n v="26"/>
    <n v="0"/>
    <n v="0"/>
    <n v="0"/>
    <n v="0"/>
  </r>
  <r>
    <x v="101"/>
    <x v="1"/>
    <x v="0"/>
    <n v="6.38"/>
    <n v="28"/>
    <n v="0"/>
    <n v="0"/>
    <n v="0"/>
    <n v="0"/>
  </r>
  <r>
    <x v="124"/>
    <x v="1"/>
    <x v="0"/>
    <n v="13.21"/>
    <n v="31"/>
    <n v="1"/>
    <n v="1"/>
    <n v="0"/>
    <n v="1"/>
  </r>
  <r>
    <x v="110"/>
    <x v="1"/>
    <x v="0"/>
    <n v="13.64"/>
    <n v="32"/>
    <n v="0"/>
    <n v="0"/>
    <n v="0"/>
    <n v="0"/>
  </r>
  <r>
    <x v="106"/>
    <x v="1"/>
    <x v="0"/>
    <n v="13.64"/>
    <n v="32"/>
    <n v="0"/>
    <n v="0"/>
    <n v="0"/>
    <n v="0"/>
  </r>
  <r>
    <x v="125"/>
    <x v="1"/>
    <x v="0"/>
    <n v="8.2100000000000009"/>
    <n v="36"/>
    <n v="1"/>
    <n v="1"/>
    <n v="0"/>
    <n v="1"/>
  </r>
  <r>
    <x v="104"/>
    <x v="1"/>
    <x v="0"/>
    <n v="8.89"/>
    <n v="39"/>
    <n v="0"/>
    <n v="0"/>
    <n v="0"/>
    <n v="0"/>
  </r>
  <r>
    <x v="111"/>
    <x v="1"/>
    <x v="0"/>
    <n v="8.89"/>
    <n v="39"/>
    <n v="0"/>
    <n v="0"/>
    <n v="0"/>
    <n v="0"/>
  </r>
  <r>
    <x v="97"/>
    <x v="1"/>
    <x v="0"/>
    <n v="17.47"/>
    <n v="41"/>
    <n v="0"/>
    <n v="0"/>
    <n v="0"/>
    <n v="0"/>
  </r>
  <r>
    <x v="126"/>
    <x v="1"/>
    <x v="0"/>
    <n v="17.47"/>
    <n v="41"/>
    <n v="1"/>
    <n v="1"/>
    <n v="0"/>
    <n v="1"/>
  </r>
  <r>
    <x v="96"/>
    <x v="1"/>
    <x v="0"/>
    <n v="18.329999999999998"/>
    <n v="43"/>
    <n v="0"/>
    <n v="0"/>
    <n v="0"/>
    <n v="0"/>
  </r>
  <r>
    <x v="112"/>
    <x v="1"/>
    <x v="0"/>
    <n v="21.31"/>
    <n v="50"/>
    <n v="0"/>
    <n v="0"/>
    <n v="0"/>
    <n v="0"/>
  </r>
  <r>
    <x v="125"/>
    <x v="1"/>
    <x v="0"/>
    <n v="22.59"/>
    <n v="53"/>
    <n v="0"/>
    <n v="0"/>
    <n v="0"/>
    <n v="0"/>
  </r>
  <r>
    <x v="100"/>
    <x v="1"/>
    <x v="0"/>
    <n v="23.01"/>
    <n v="54"/>
    <n v="0"/>
    <n v="0"/>
    <n v="0"/>
    <n v="0"/>
  </r>
  <r>
    <x v="120"/>
    <x v="1"/>
    <x v="0"/>
    <n v="25.15"/>
    <n v="59"/>
    <n v="0"/>
    <n v="0"/>
    <n v="0"/>
    <n v="0"/>
  </r>
  <r>
    <x v="119"/>
    <x v="1"/>
    <x v="0"/>
    <n v="14.14"/>
    <n v="62"/>
    <n v="0"/>
    <n v="0"/>
    <n v="0"/>
    <n v="0"/>
  </r>
  <r>
    <x v="101"/>
    <x v="1"/>
    <x v="0"/>
    <n v="28.13"/>
    <n v="66"/>
    <n v="0"/>
    <n v="0"/>
    <n v="0"/>
    <n v="0"/>
  </r>
  <r>
    <x v="127"/>
    <x v="1"/>
    <x v="0"/>
    <n v="29.83"/>
    <n v="70"/>
    <n v="1"/>
    <n v="1"/>
    <n v="0"/>
    <n v="1"/>
  </r>
  <r>
    <x v="123"/>
    <x v="1"/>
    <x v="0"/>
    <n v="16.87"/>
    <n v="74"/>
    <n v="0"/>
    <n v="0"/>
    <n v="0"/>
    <n v="0"/>
  </r>
  <r>
    <x v="127"/>
    <x v="1"/>
    <x v="0"/>
    <n v="32.39"/>
    <n v="76"/>
    <n v="0"/>
    <n v="0"/>
    <n v="0"/>
    <n v="0"/>
  </r>
  <r>
    <x v="124"/>
    <x v="1"/>
    <x v="1"/>
    <n v="62.72"/>
    <n v="79"/>
    <n v="0"/>
    <n v="0"/>
    <n v="0"/>
    <n v="0"/>
  </r>
  <r>
    <x v="124"/>
    <x v="1"/>
    <x v="0"/>
    <n v="18.47"/>
    <n v="81"/>
    <n v="0"/>
    <n v="0"/>
    <n v="0"/>
    <n v="0"/>
  </r>
  <r>
    <x v="116"/>
    <x v="1"/>
    <x v="0"/>
    <n v="34.950000000000003"/>
    <n v="82"/>
    <n v="0"/>
    <n v="0"/>
    <n v="0"/>
    <n v="0"/>
  </r>
  <r>
    <x v="123"/>
    <x v="1"/>
    <x v="0"/>
    <n v="21.2"/>
    <n v="93"/>
    <n v="0"/>
    <n v="0"/>
    <n v="0"/>
    <n v="0"/>
  </r>
  <r>
    <x v="128"/>
    <x v="2"/>
    <x v="0"/>
    <n v="0.43"/>
    <n v="1"/>
    <n v="1"/>
    <n v="1"/>
    <n v="0"/>
    <n v="0"/>
  </r>
  <r>
    <x v="129"/>
    <x v="2"/>
    <x v="0"/>
    <n v="0.85"/>
    <n v="2"/>
    <n v="1"/>
    <n v="1"/>
    <n v="0"/>
    <n v="0"/>
  </r>
  <r>
    <x v="130"/>
    <x v="2"/>
    <x v="0"/>
    <n v="0.85"/>
    <n v="2"/>
    <n v="1"/>
    <n v="1"/>
    <n v="0"/>
    <n v="0"/>
  </r>
  <r>
    <x v="131"/>
    <x v="2"/>
    <x v="0"/>
    <n v="2.13"/>
    <n v="5"/>
    <n v="1"/>
    <n v="1"/>
    <n v="0"/>
    <n v="0"/>
  </r>
  <r>
    <x v="131"/>
    <x v="2"/>
    <x v="0"/>
    <n v="2.56"/>
    <n v="6"/>
    <n v="0"/>
    <n v="0"/>
    <n v="0"/>
    <n v="0"/>
  </r>
  <r>
    <x v="132"/>
    <x v="2"/>
    <x v="0"/>
    <n v="2.56"/>
    <n v="6"/>
    <n v="1"/>
    <n v="1"/>
    <n v="0"/>
    <n v="0"/>
  </r>
  <r>
    <x v="133"/>
    <x v="2"/>
    <x v="0"/>
    <n v="3.84"/>
    <n v="9"/>
    <n v="1"/>
    <n v="1"/>
    <n v="0"/>
    <n v="0"/>
  </r>
  <r>
    <x v="134"/>
    <x v="2"/>
    <x v="0"/>
    <n v="4.26"/>
    <n v="10"/>
    <n v="1"/>
    <n v="1"/>
    <n v="0"/>
    <n v="0"/>
  </r>
  <r>
    <x v="135"/>
    <x v="2"/>
    <x v="0"/>
    <n v="4.26"/>
    <n v="10"/>
    <n v="1"/>
    <n v="1"/>
    <n v="0"/>
    <n v="0"/>
  </r>
  <r>
    <x v="136"/>
    <x v="2"/>
    <x v="0"/>
    <n v="5.1100000000000003"/>
    <n v="12"/>
    <n v="1"/>
    <n v="1"/>
    <n v="0"/>
    <n v="0"/>
  </r>
  <r>
    <x v="129"/>
    <x v="2"/>
    <x v="0"/>
    <n v="5.54"/>
    <n v="13"/>
    <n v="0"/>
    <n v="0"/>
    <n v="0"/>
    <n v="0"/>
  </r>
  <r>
    <x v="137"/>
    <x v="2"/>
    <x v="0"/>
    <n v="5.97"/>
    <n v="14"/>
    <n v="1"/>
    <n v="1"/>
    <n v="0"/>
    <n v="0"/>
  </r>
  <r>
    <x v="138"/>
    <x v="2"/>
    <x v="0"/>
    <n v="6.39"/>
    <n v="15"/>
    <n v="1"/>
    <n v="1"/>
    <n v="0"/>
    <n v="0"/>
  </r>
  <r>
    <x v="139"/>
    <x v="2"/>
    <x v="0"/>
    <n v="7.67"/>
    <n v="18"/>
    <n v="1"/>
    <n v="1"/>
    <n v="0"/>
    <n v="0"/>
  </r>
  <r>
    <x v="132"/>
    <x v="2"/>
    <x v="0"/>
    <n v="8.52"/>
    <n v="20"/>
    <n v="0"/>
    <n v="0"/>
    <n v="0"/>
    <n v="0"/>
  </r>
  <r>
    <x v="140"/>
    <x v="2"/>
    <x v="0"/>
    <n v="8.9499999999999993"/>
    <n v="21"/>
    <n v="1"/>
    <n v="1"/>
    <n v="0"/>
    <n v="0"/>
  </r>
  <r>
    <x v="137"/>
    <x v="2"/>
    <x v="0"/>
    <n v="9.3800000000000008"/>
    <n v="22"/>
    <n v="0"/>
    <n v="0"/>
    <n v="0"/>
    <n v="0"/>
  </r>
  <r>
    <x v="132"/>
    <x v="2"/>
    <x v="0"/>
    <n v="9.8000000000000007"/>
    <n v="23"/>
    <n v="0"/>
    <n v="0"/>
    <n v="0"/>
    <n v="0"/>
  </r>
  <r>
    <x v="141"/>
    <x v="2"/>
    <x v="0"/>
    <n v="9.8000000000000007"/>
    <n v="23"/>
    <n v="1"/>
    <n v="1"/>
    <n v="0"/>
    <n v="0"/>
  </r>
  <r>
    <x v="141"/>
    <x v="2"/>
    <x v="0"/>
    <n v="10.23"/>
    <n v="24"/>
    <n v="0"/>
    <n v="0"/>
    <n v="0"/>
    <n v="0"/>
  </r>
  <r>
    <x v="130"/>
    <x v="2"/>
    <x v="0"/>
    <n v="11.51"/>
    <n v="27"/>
    <n v="0"/>
    <n v="0"/>
    <n v="0"/>
    <n v="0"/>
  </r>
  <r>
    <x v="135"/>
    <x v="2"/>
    <x v="4"/>
    <n v="0"/>
    <n v="31"/>
    <n v="0"/>
    <n v="0"/>
    <n v="0"/>
    <n v="0"/>
  </r>
  <r>
    <x v="142"/>
    <x v="2"/>
    <x v="0"/>
    <n v="15.77"/>
    <n v="37"/>
    <n v="1"/>
    <n v="1"/>
    <n v="0"/>
    <n v="0"/>
  </r>
  <r>
    <x v="131"/>
    <x v="2"/>
    <x v="0"/>
    <n v="18.75"/>
    <n v="44"/>
    <n v="0"/>
    <n v="0"/>
    <n v="0"/>
    <n v="0"/>
  </r>
  <r>
    <x v="143"/>
    <x v="2"/>
    <x v="0"/>
    <n v="18.75"/>
    <n v="44"/>
    <n v="1"/>
    <n v="1"/>
    <n v="0"/>
    <n v="0"/>
  </r>
  <r>
    <x v="141"/>
    <x v="2"/>
    <x v="0"/>
    <n v="21.74"/>
    <n v="51"/>
    <n v="0"/>
    <n v="0"/>
    <n v="0"/>
    <n v="0"/>
  </r>
  <r>
    <x v="131"/>
    <x v="2"/>
    <x v="0"/>
    <n v="24.72"/>
    <n v="58"/>
    <n v="0"/>
    <n v="0"/>
    <n v="0"/>
    <n v="0"/>
  </r>
  <r>
    <x v="135"/>
    <x v="2"/>
    <x v="0"/>
    <n v="29.41"/>
    <n v="69"/>
    <n v="0"/>
    <n v="0"/>
    <n v="0"/>
    <n v="0"/>
  </r>
  <r>
    <x v="144"/>
    <x v="2"/>
    <x v="0"/>
    <n v="40.49"/>
    <n v="95"/>
    <n v="1"/>
    <n v="1"/>
    <n v="0"/>
    <n v="0"/>
  </r>
  <r>
    <x v="145"/>
    <x v="3"/>
    <x v="0"/>
    <n v="3.25"/>
    <n v="8"/>
    <n v="1"/>
    <n v="1"/>
    <n v="0"/>
    <n v="0"/>
  </r>
  <r>
    <x v="146"/>
    <x v="3"/>
    <x v="0"/>
    <n v="5.69"/>
    <n v="14"/>
    <n v="1"/>
    <n v="1"/>
    <n v="0"/>
    <n v="0"/>
  </r>
  <r>
    <x v="145"/>
    <x v="3"/>
    <x v="0"/>
    <n v="5.69"/>
    <n v="14"/>
    <n v="0"/>
    <n v="0"/>
    <n v="0"/>
    <n v="0"/>
  </r>
  <r>
    <x v="147"/>
    <x v="3"/>
    <x v="0"/>
    <n v="6.5"/>
    <n v="16"/>
    <n v="1"/>
    <n v="1"/>
    <n v="0"/>
    <n v="0"/>
  </r>
  <r>
    <x v="148"/>
    <x v="3"/>
    <x v="0"/>
    <n v="6.5"/>
    <n v="16"/>
    <n v="1"/>
    <n v="1"/>
    <n v="0"/>
    <n v="0"/>
  </r>
  <r>
    <x v="149"/>
    <x v="3"/>
    <x v="0"/>
    <n v="8.5299999999999994"/>
    <n v="21"/>
    <n v="1"/>
    <n v="1"/>
    <n v="0"/>
    <n v="0"/>
  </r>
  <r>
    <x v="150"/>
    <x v="3"/>
    <x v="0"/>
    <n v="8.5299999999999994"/>
    <n v="21"/>
    <n v="1"/>
    <n v="1"/>
    <n v="0"/>
    <n v="0"/>
  </r>
  <r>
    <x v="151"/>
    <x v="3"/>
    <x v="0"/>
    <n v="9.75"/>
    <n v="24"/>
    <n v="1"/>
    <n v="1"/>
    <n v="0"/>
    <n v="0"/>
  </r>
  <r>
    <x v="146"/>
    <x v="3"/>
    <x v="0"/>
    <n v="9.75"/>
    <n v="24"/>
    <n v="0"/>
    <n v="0"/>
    <n v="0"/>
    <n v="0"/>
  </r>
  <r>
    <x v="148"/>
    <x v="3"/>
    <x v="0"/>
    <n v="9.75"/>
    <n v="24"/>
    <n v="0"/>
    <n v="0"/>
    <n v="0"/>
    <n v="0"/>
  </r>
  <r>
    <x v="145"/>
    <x v="3"/>
    <x v="0"/>
    <n v="12.19"/>
    <n v="30"/>
    <n v="0"/>
    <n v="0"/>
    <n v="0"/>
    <n v="0"/>
  </r>
  <r>
    <x v="149"/>
    <x v="3"/>
    <x v="0"/>
    <n v="18.29"/>
    <n v="45"/>
    <n v="0"/>
    <n v="0"/>
    <n v="0"/>
    <n v="0"/>
  </r>
  <r>
    <x v="152"/>
    <x v="3"/>
    <x v="0"/>
    <n v="18.690000000000001"/>
    <n v="46"/>
    <n v="1"/>
    <n v="1"/>
    <n v="0"/>
    <n v="0"/>
  </r>
  <r>
    <x v="153"/>
    <x v="4"/>
    <x v="0"/>
    <n v="14.06"/>
    <n v="33"/>
    <n v="1"/>
    <n v="1"/>
    <n v="0"/>
    <n v="0"/>
  </r>
  <r>
    <x v="154"/>
    <x v="4"/>
    <x v="0"/>
    <n v="13.21"/>
    <n v="31"/>
    <n v="1"/>
    <n v="1"/>
    <n v="0"/>
    <n v="0"/>
  </r>
  <r>
    <x v="155"/>
    <x v="4"/>
    <x v="0"/>
    <n v="11.93"/>
    <n v="28"/>
    <n v="1"/>
    <n v="1"/>
    <n v="0"/>
    <n v="0"/>
  </r>
  <r>
    <x v="156"/>
    <x v="4"/>
    <x v="0"/>
    <n v="11.08"/>
    <n v="26"/>
    <n v="1"/>
    <n v="1"/>
    <n v="0"/>
    <n v="0"/>
  </r>
  <r>
    <x v="157"/>
    <x v="4"/>
    <x v="0"/>
    <n v="11.08"/>
    <n v="26"/>
    <n v="1"/>
    <n v="1"/>
    <n v="0"/>
    <n v="0"/>
  </r>
  <r>
    <x v="158"/>
    <x v="4"/>
    <x v="0"/>
    <n v="10.66"/>
    <n v="25"/>
    <n v="1"/>
    <n v="1"/>
    <n v="0"/>
    <n v="0"/>
  </r>
  <r>
    <x v="159"/>
    <x v="4"/>
    <x v="0"/>
    <n v="9.8000000000000007"/>
    <n v="23"/>
    <n v="1"/>
    <n v="1"/>
    <n v="0"/>
    <n v="0"/>
  </r>
  <r>
    <x v="160"/>
    <x v="4"/>
    <x v="0"/>
    <n v="9.8000000000000007"/>
    <n v="23"/>
    <n v="1"/>
    <n v="1"/>
    <n v="0"/>
    <n v="0"/>
  </r>
  <r>
    <x v="161"/>
    <x v="4"/>
    <x v="0"/>
    <n v="9.8000000000000007"/>
    <n v="23"/>
    <n v="1"/>
    <n v="1"/>
    <n v="0"/>
    <n v="0"/>
  </r>
  <r>
    <x v="162"/>
    <x v="4"/>
    <x v="0"/>
    <n v="9.3800000000000008"/>
    <n v="22"/>
    <n v="1"/>
    <n v="1"/>
    <n v="0"/>
    <n v="0"/>
  </r>
  <r>
    <x v="163"/>
    <x v="4"/>
    <x v="0"/>
    <n v="9.3800000000000008"/>
    <n v="22"/>
    <n v="1"/>
    <n v="1"/>
    <n v="0"/>
    <n v="0"/>
  </r>
  <r>
    <x v="154"/>
    <x v="4"/>
    <x v="0"/>
    <n v="9.3800000000000008"/>
    <n v="22"/>
    <n v="0"/>
    <n v="0"/>
    <n v="0"/>
    <n v="0"/>
  </r>
  <r>
    <x v="164"/>
    <x v="4"/>
    <x v="0"/>
    <n v="8.9499999999999993"/>
    <n v="21"/>
    <n v="1"/>
    <n v="1"/>
    <n v="0"/>
    <n v="0"/>
  </r>
  <r>
    <x v="165"/>
    <x v="4"/>
    <x v="0"/>
    <n v="8.52"/>
    <n v="20"/>
    <n v="1"/>
    <n v="1"/>
    <n v="0"/>
    <n v="0"/>
  </r>
  <r>
    <x v="166"/>
    <x v="4"/>
    <x v="2"/>
    <n v="14.87"/>
    <n v="20"/>
    <n v="1"/>
    <n v="0"/>
    <n v="0"/>
    <n v="0"/>
  </r>
  <r>
    <x v="167"/>
    <x v="4"/>
    <x v="0"/>
    <n v="8.52"/>
    <n v="20"/>
    <n v="1"/>
    <n v="1"/>
    <n v="0"/>
    <n v="0"/>
  </r>
  <r>
    <x v="168"/>
    <x v="4"/>
    <x v="0"/>
    <n v="8.1"/>
    <n v="19"/>
    <n v="1"/>
    <n v="1"/>
    <n v="0"/>
    <n v="0"/>
  </r>
  <r>
    <x v="169"/>
    <x v="4"/>
    <x v="0"/>
    <n v="8.1"/>
    <n v="19"/>
    <n v="1"/>
    <n v="1"/>
    <n v="0"/>
    <n v="0"/>
  </r>
  <r>
    <x v="170"/>
    <x v="4"/>
    <x v="0"/>
    <n v="8.1"/>
    <n v="19"/>
    <n v="1"/>
    <n v="1"/>
    <n v="0"/>
    <n v="0"/>
  </r>
  <r>
    <x v="171"/>
    <x v="4"/>
    <x v="0"/>
    <n v="8.1"/>
    <n v="19"/>
    <n v="1"/>
    <n v="1"/>
    <n v="0"/>
    <n v="0"/>
  </r>
  <r>
    <x v="172"/>
    <x v="4"/>
    <x v="0"/>
    <n v="7.67"/>
    <n v="18"/>
    <n v="1"/>
    <n v="1"/>
    <n v="0"/>
    <n v="0"/>
  </r>
  <r>
    <x v="173"/>
    <x v="4"/>
    <x v="0"/>
    <n v="7.67"/>
    <n v="18"/>
    <n v="1"/>
    <n v="1"/>
    <n v="0"/>
    <n v="0"/>
  </r>
  <r>
    <x v="174"/>
    <x v="4"/>
    <x v="0"/>
    <n v="7.67"/>
    <n v="18"/>
    <n v="1"/>
    <n v="1"/>
    <n v="0"/>
    <n v="0"/>
  </r>
  <r>
    <x v="175"/>
    <x v="4"/>
    <x v="0"/>
    <n v="7.67"/>
    <n v="18"/>
    <n v="1"/>
    <n v="1"/>
    <n v="0"/>
    <n v="0"/>
  </r>
  <r>
    <x v="176"/>
    <x v="4"/>
    <x v="0"/>
    <n v="7.67"/>
    <n v="18"/>
    <n v="1"/>
    <n v="1"/>
    <n v="0"/>
    <n v="0"/>
  </r>
  <r>
    <x v="177"/>
    <x v="4"/>
    <x v="0"/>
    <n v="7.67"/>
    <n v="18"/>
    <n v="1"/>
    <n v="1"/>
    <n v="0"/>
    <n v="0"/>
  </r>
  <r>
    <x v="173"/>
    <x v="4"/>
    <x v="0"/>
    <n v="7.67"/>
    <n v="18"/>
    <n v="0"/>
    <n v="0"/>
    <n v="0"/>
    <n v="0"/>
  </r>
  <r>
    <x v="178"/>
    <x v="4"/>
    <x v="1"/>
    <n v="14.87"/>
    <n v="18"/>
    <n v="1"/>
    <n v="0"/>
    <n v="0"/>
    <n v="0"/>
  </r>
  <r>
    <x v="179"/>
    <x v="4"/>
    <x v="0"/>
    <n v="7.67"/>
    <n v="18"/>
    <n v="1"/>
    <n v="1"/>
    <n v="0"/>
    <n v="0"/>
  </r>
  <r>
    <x v="180"/>
    <x v="4"/>
    <x v="0"/>
    <n v="7.67"/>
    <n v="18"/>
    <n v="1"/>
    <n v="1"/>
    <n v="0"/>
    <n v="0"/>
  </r>
  <r>
    <x v="181"/>
    <x v="4"/>
    <x v="0"/>
    <n v="7.25"/>
    <n v="17"/>
    <n v="1"/>
    <n v="1"/>
    <n v="0"/>
    <n v="0"/>
  </r>
  <r>
    <x v="182"/>
    <x v="4"/>
    <x v="0"/>
    <n v="7.25"/>
    <n v="17"/>
    <n v="1"/>
    <n v="1"/>
    <n v="0"/>
    <n v="0"/>
  </r>
  <r>
    <x v="183"/>
    <x v="4"/>
    <x v="0"/>
    <n v="6.82"/>
    <n v="16"/>
    <n v="1"/>
    <n v="1"/>
    <n v="0"/>
    <n v="0"/>
  </r>
  <r>
    <x v="172"/>
    <x v="4"/>
    <x v="0"/>
    <n v="6.82"/>
    <n v="16"/>
    <n v="0"/>
    <n v="0"/>
    <n v="0"/>
    <n v="0"/>
  </r>
  <r>
    <x v="184"/>
    <x v="4"/>
    <x v="0"/>
    <n v="6.39"/>
    <n v="15"/>
    <n v="1"/>
    <n v="1"/>
    <n v="0"/>
    <n v="0"/>
  </r>
  <r>
    <x v="185"/>
    <x v="4"/>
    <x v="0"/>
    <n v="6.39"/>
    <n v="15"/>
    <n v="1"/>
    <n v="1"/>
    <n v="0"/>
    <n v="0"/>
  </r>
  <r>
    <x v="175"/>
    <x v="4"/>
    <x v="0"/>
    <n v="6.39"/>
    <n v="15"/>
    <n v="0"/>
    <n v="0"/>
    <n v="0"/>
    <n v="0"/>
  </r>
  <r>
    <x v="186"/>
    <x v="4"/>
    <x v="0"/>
    <n v="5.97"/>
    <n v="14"/>
    <n v="1"/>
    <n v="1"/>
    <n v="0"/>
    <n v="0"/>
  </r>
  <r>
    <x v="187"/>
    <x v="4"/>
    <x v="0"/>
    <n v="5.54"/>
    <n v="13"/>
    <n v="1"/>
    <n v="1"/>
    <n v="0"/>
    <n v="0"/>
  </r>
  <r>
    <x v="166"/>
    <x v="4"/>
    <x v="0"/>
    <n v="5.54"/>
    <n v="13"/>
    <n v="0"/>
    <n v="1"/>
    <n v="0"/>
    <n v="0"/>
  </r>
  <r>
    <x v="188"/>
    <x v="4"/>
    <x v="0"/>
    <n v="5.54"/>
    <n v="13"/>
    <n v="1"/>
    <n v="1"/>
    <n v="0"/>
    <n v="0"/>
  </r>
  <r>
    <x v="189"/>
    <x v="4"/>
    <x v="0"/>
    <n v="5.54"/>
    <n v="13"/>
    <n v="1"/>
    <n v="1"/>
    <n v="0"/>
    <n v="0"/>
  </r>
  <r>
    <x v="190"/>
    <x v="4"/>
    <x v="0"/>
    <n v="5.54"/>
    <n v="13"/>
    <n v="1"/>
    <n v="1"/>
    <n v="0"/>
    <n v="0"/>
  </r>
  <r>
    <x v="191"/>
    <x v="4"/>
    <x v="0"/>
    <n v="5.54"/>
    <n v="13"/>
    <n v="1"/>
    <n v="1"/>
    <n v="0"/>
    <n v="0"/>
  </r>
  <r>
    <x v="178"/>
    <x v="4"/>
    <x v="0"/>
    <n v="5.54"/>
    <n v="13"/>
    <n v="0"/>
    <n v="1"/>
    <n v="0"/>
    <n v="0"/>
  </r>
  <r>
    <x v="182"/>
    <x v="4"/>
    <x v="0"/>
    <n v="5.54"/>
    <n v="13"/>
    <n v="0"/>
    <n v="0"/>
    <n v="0"/>
    <n v="0"/>
  </r>
  <r>
    <x v="172"/>
    <x v="4"/>
    <x v="0"/>
    <n v="5.1100000000000003"/>
    <n v="12"/>
    <n v="0"/>
    <n v="0"/>
    <n v="0"/>
    <n v="0"/>
  </r>
  <r>
    <x v="175"/>
    <x v="4"/>
    <x v="0"/>
    <n v="5.1100000000000003"/>
    <n v="12"/>
    <n v="0"/>
    <n v="0"/>
    <n v="0"/>
    <n v="0"/>
  </r>
  <r>
    <x v="181"/>
    <x v="4"/>
    <x v="0"/>
    <n v="5.1100000000000003"/>
    <n v="12"/>
    <n v="0"/>
    <n v="0"/>
    <n v="0"/>
    <n v="0"/>
  </r>
  <r>
    <x v="192"/>
    <x v="4"/>
    <x v="0"/>
    <n v="5.1100000000000003"/>
    <n v="12"/>
    <n v="1"/>
    <n v="1"/>
    <n v="0"/>
    <n v="0"/>
  </r>
  <r>
    <x v="193"/>
    <x v="4"/>
    <x v="0"/>
    <n v="5.1100000000000003"/>
    <n v="12"/>
    <n v="1"/>
    <n v="1"/>
    <n v="0"/>
    <n v="0"/>
  </r>
  <r>
    <x v="190"/>
    <x v="4"/>
    <x v="0"/>
    <n v="5.1100000000000003"/>
    <n v="12"/>
    <n v="0"/>
    <n v="0"/>
    <n v="0"/>
    <n v="0"/>
  </r>
  <r>
    <x v="194"/>
    <x v="4"/>
    <x v="0"/>
    <n v="4.6900000000000004"/>
    <n v="11"/>
    <n v="1"/>
    <n v="1"/>
    <n v="0"/>
    <n v="0"/>
  </r>
  <r>
    <x v="195"/>
    <x v="4"/>
    <x v="2"/>
    <n v="14.87"/>
    <n v="11"/>
    <n v="1"/>
    <n v="0"/>
    <n v="0"/>
    <n v="0"/>
  </r>
  <r>
    <x v="184"/>
    <x v="4"/>
    <x v="0"/>
    <n v="4.6900000000000004"/>
    <n v="11"/>
    <n v="0"/>
    <n v="0"/>
    <n v="0"/>
    <n v="0"/>
  </r>
  <r>
    <x v="186"/>
    <x v="4"/>
    <x v="0"/>
    <n v="4.6900000000000004"/>
    <n v="11"/>
    <n v="0"/>
    <n v="0"/>
    <n v="0"/>
    <n v="0"/>
  </r>
  <r>
    <x v="184"/>
    <x v="4"/>
    <x v="0"/>
    <n v="4.6900000000000004"/>
    <n v="11"/>
    <n v="0"/>
    <n v="0"/>
    <n v="0"/>
    <n v="0"/>
  </r>
  <r>
    <x v="196"/>
    <x v="4"/>
    <x v="0"/>
    <n v="4.6900000000000004"/>
    <n v="11"/>
    <n v="1"/>
    <n v="1"/>
    <n v="0"/>
    <n v="0"/>
  </r>
  <r>
    <x v="197"/>
    <x v="4"/>
    <x v="0"/>
    <n v="4.26"/>
    <n v="10"/>
    <n v="1"/>
    <n v="1"/>
    <n v="0"/>
    <n v="0"/>
  </r>
  <r>
    <x v="185"/>
    <x v="4"/>
    <x v="0"/>
    <n v="4.26"/>
    <n v="10"/>
    <n v="0"/>
    <n v="0"/>
    <n v="0"/>
    <n v="0"/>
  </r>
  <r>
    <x v="165"/>
    <x v="4"/>
    <x v="0"/>
    <n v="4.26"/>
    <n v="10"/>
    <n v="0"/>
    <n v="0"/>
    <n v="0"/>
    <n v="0"/>
  </r>
  <r>
    <x v="169"/>
    <x v="4"/>
    <x v="0"/>
    <n v="4.26"/>
    <n v="10"/>
    <n v="0"/>
    <n v="0"/>
    <n v="0"/>
    <n v="0"/>
  </r>
  <r>
    <x v="198"/>
    <x v="4"/>
    <x v="0"/>
    <n v="4.26"/>
    <n v="10"/>
    <n v="1"/>
    <n v="1"/>
    <n v="0"/>
    <n v="0"/>
  </r>
  <r>
    <x v="199"/>
    <x v="4"/>
    <x v="0"/>
    <n v="4.26"/>
    <n v="10"/>
    <n v="1"/>
    <n v="1"/>
    <n v="0"/>
    <n v="0"/>
  </r>
  <r>
    <x v="200"/>
    <x v="4"/>
    <x v="0"/>
    <n v="4.26"/>
    <n v="10"/>
    <n v="1"/>
    <n v="1"/>
    <n v="0"/>
    <n v="0"/>
  </r>
  <r>
    <x v="167"/>
    <x v="4"/>
    <x v="0"/>
    <n v="4.26"/>
    <n v="10"/>
    <n v="0"/>
    <n v="0"/>
    <n v="0"/>
    <n v="0"/>
  </r>
  <r>
    <x v="159"/>
    <x v="4"/>
    <x v="0"/>
    <n v="3.84"/>
    <n v="9"/>
    <n v="0"/>
    <n v="0"/>
    <n v="0"/>
    <n v="0"/>
  </r>
  <r>
    <x v="193"/>
    <x v="4"/>
    <x v="0"/>
    <n v="3.84"/>
    <n v="9"/>
    <n v="0"/>
    <n v="0"/>
    <n v="0"/>
    <n v="0"/>
  </r>
  <r>
    <x v="199"/>
    <x v="4"/>
    <x v="0"/>
    <n v="3.84"/>
    <n v="9"/>
    <n v="0"/>
    <n v="0"/>
    <n v="0"/>
    <n v="0"/>
  </r>
  <r>
    <x v="199"/>
    <x v="4"/>
    <x v="0"/>
    <n v="3.84"/>
    <n v="9"/>
    <n v="0"/>
    <n v="0"/>
    <n v="0"/>
    <n v="0"/>
  </r>
  <r>
    <x v="201"/>
    <x v="4"/>
    <x v="0"/>
    <n v="3.84"/>
    <n v="9"/>
    <n v="1"/>
    <n v="1"/>
    <n v="0"/>
    <n v="0"/>
  </r>
  <r>
    <x v="191"/>
    <x v="4"/>
    <x v="1"/>
    <n v="7.43"/>
    <n v="9"/>
    <n v="0"/>
    <n v="0"/>
    <n v="0"/>
    <n v="0"/>
  </r>
  <r>
    <x v="202"/>
    <x v="4"/>
    <x v="0"/>
    <n v="3.84"/>
    <n v="9"/>
    <n v="1"/>
    <n v="1"/>
    <n v="0"/>
    <n v="0"/>
  </r>
  <r>
    <x v="203"/>
    <x v="4"/>
    <x v="0"/>
    <n v="3.84"/>
    <n v="9"/>
    <n v="1"/>
    <n v="1"/>
    <n v="0"/>
    <n v="0"/>
  </r>
  <r>
    <x v="204"/>
    <x v="4"/>
    <x v="0"/>
    <n v="3.41"/>
    <n v="8"/>
    <n v="1"/>
    <n v="1"/>
    <n v="0"/>
    <n v="0"/>
  </r>
  <r>
    <x v="169"/>
    <x v="4"/>
    <x v="0"/>
    <n v="3.41"/>
    <n v="8"/>
    <n v="0"/>
    <n v="0"/>
    <n v="0"/>
    <n v="0"/>
  </r>
  <r>
    <x v="158"/>
    <x v="4"/>
    <x v="0"/>
    <n v="3.41"/>
    <n v="8"/>
    <n v="0"/>
    <n v="0"/>
    <n v="0"/>
    <n v="0"/>
  </r>
  <r>
    <x v="205"/>
    <x v="4"/>
    <x v="0"/>
    <n v="3.41"/>
    <n v="8"/>
    <n v="1"/>
    <n v="1"/>
    <n v="0"/>
    <n v="0"/>
  </r>
  <r>
    <x v="206"/>
    <x v="4"/>
    <x v="0"/>
    <n v="3.41"/>
    <n v="8"/>
    <n v="1"/>
    <n v="1"/>
    <n v="0"/>
    <n v="0"/>
  </r>
  <r>
    <x v="160"/>
    <x v="4"/>
    <x v="0"/>
    <n v="3.41"/>
    <n v="8"/>
    <n v="0"/>
    <n v="0"/>
    <n v="0"/>
    <n v="0"/>
  </r>
  <r>
    <x v="207"/>
    <x v="4"/>
    <x v="0"/>
    <n v="3.41"/>
    <n v="8"/>
    <n v="1"/>
    <n v="1"/>
    <n v="0"/>
    <n v="0"/>
  </r>
  <r>
    <x v="208"/>
    <x v="4"/>
    <x v="0"/>
    <n v="3.41"/>
    <n v="8"/>
    <n v="1"/>
    <n v="1"/>
    <n v="0"/>
    <n v="0"/>
  </r>
  <r>
    <x v="209"/>
    <x v="4"/>
    <x v="0"/>
    <n v="3.41"/>
    <n v="8"/>
    <n v="1"/>
    <n v="1"/>
    <n v="0"/>
    <n v="0"/>
  </r>
  <r>
    <x v="186"/>
    <x v="4"/>
    <x v="0"/>
    <n v="2.98"/>
    <n v="7"/>
    <n v="0"/>
    <n v="0"/>
    <n v="0"/>
    <n v="0"/>
  </r>
  <r>
    <x v="173"/>
    <x v="4"/>
    <x v="0"/>
    <n v="2.98"/>
    <n v="7"/>
    <n v="0"/>
    <n v="0"/>
    <n v="0"/>
    <n v="0"/>
  </r>
  <r>
    <x v="210"/>
    <x v="4"/>
    <x v="0"/>
    <n v="2.98"/>
    <n v="7"/>
    <n v="1"/>
    <n v="1"/>
    <n v="0"/>
    <n v="0"/>
  </r>
  <r>
    <x v="195"/>
    <x v="4"/>
    <x v="0"/>
    <n v="2.98"/>
    <n v="7"/>
    <n v="0"/>
    <n v="1"/>
    <n v="0"/>
    <n v="0"/>
  </r>
  <r>
    <x v="211"/>
    <x v="4"/>
    <x v="1"/>
    <n v="7.43"/>
    <n v="7"/>
    <n v="1"/>
    <n v="0"/>
    <n v="0"/>
    <n v="0"/>
  </r>
  <r>
    <x v="170"/>
    <x v="4"/>
    <x v="0"/>
    <n v="2.98"/>
    <n v="7"/>
    <n v="0"/>
    <n v="0"/>
    <n v="0"/>
    <n v="0"/>
  </r>
  <r>
    <x v="201"/>
    <x v="4"/>
    <x v="0"/>
    <n v="2.98"/>
    <n v="7"/>
    <n v="0"/>
    <n v="0"/>
    <n v="0"/>
    <n v="0"/>
  </r>
  <r>
    <x v="174"/>
    <x v="4"/>
    <x v="0"/>
    <n v="2.98"/>
    <n v="7"/>
    <n v="0"/>
    <n v="0"/>
    <n v="0"/>
    <n v="0"/>
  </r>
  <r>
    <x v="212"/>
    <x v="4"/>
    <x v="0"/>
    <n v="2.98"/>
    <n v="7"/>
    <n v="1"/>
    <n v="1"/>
    <n v="0"/>
    <n v="0"/>
  </r>
  <r>
    <x v="213"/>
    <x v="4"/>
    <x v="0"/>
    <n v="2.56"/>
    <n v="6"/>
    <n v="1"/>
    <n v="1"/>
    <n v="0"/>
    <n v="0"/>
  </r>
  <r>
    <x v="162"/>
    <x v="4"/>
    <x v="0"/>
    <n v="2.56"/>
    <n v="6"/>
    <n v="0"/>
    <n v="0"/>
    <n v="0"/>
    <n v="0"/>
  </r>
  <r>
    <x v="168"/>
    <x v="4"/>
    <x v="0"/>
    <n v="2.56"/>
    <n v="6"/>
    <n v="0"/>
    <n v="0"/>
    <n v="0"/>
    <n v="0"/>
  </r>
  <r>
    <x v="210"/>
    <x v="4"/>
    <x v="0"/>
    <n v="2.56"/>
    <n v="6"/>
    <n v="0"/>
    <n v="0"/>
    <n v="0"/>
    <n v="0"/>
  </r>
  <r>
    <x v="165"/>
    <x v="4"/>
    <x v="0"/>
    <n v="0"/>
    <n v="6"/>
    <n v="0"/>
    <n v="0"/>
    <n v="0"/>
    <n v="0"/>
  </r>
  <r>
    <x v="192"/>
    <x v="4"/>
    <x v="0"/>
    <n v="2.56"/>
    <n v="6"/>
    <n v="0"/>
    <n v="0"/>
    <n v="0"/>
    <n v="0"/>
  </r>
  <r>
    <x v="168"/>
    <x v="4"/>
    <x v="0"/>
    <n v="2.56"/>
    <n v="6"/>
    <n v="0"/>
    <n v="0"/>
    <n v="0"/>
    <n v="0"/>
  </r>
  <r>
    <x v="210"/>
    <x v="4"/>
    <x v="0"/>
    <n v="2.56"/>
    <n v="6"/>
    <n v="0"/>
    <n v="0"/>
    <n v="0"/>
    <n v="0"/>
  </r>
  <r>
    <x v="214"/>
    <x v="4"/>
    <x v="0"/>
    <n v="2.56"/>
    <n v="6"/>
    <n v="1"/>
    <n v="1"/>
    <n v="0"/>
    <n v="0"/>
  </r>
  <r>
    <x v="215"/>
    <x v="4"/>
    <x v="0"/>
    <n v="2.13"/>
    <n v="5"/>
    <n v="1"/>
    <n v="1"/>
    <n v="0"/>
    <n v="0"/>
  </r>
  <r>
    <x v="216"/>
    <x v="4"/>
    <x v="0"/>
    <n v="2.13"/>
    <n v="5"/>
    <n v="1"/>
    <n v="1"/>
    <n v="0"/>
    <n v="0"/>
  </r>
  <r>
    <x v="217"/>
    <x v="4"/>
    <x v="0"/>
    <n v="2.13"/>
    <n v="5"/>
    <n v="1"/>
    <n v="1"/>
    <n v="0"/>
    <n v="0"/>
  </r>
  <r>
    <x v="193"/>
    <x v="4"/>
    <x v="0"/>
    <n v="2.13"/>
    <n v="5"/>
    <n v="0"/>
    <n v="0"/>
    <n v="0"/>
    <n v="0"/>
  </r>
  <r>
    <x v="183"/>
    <x v="4"/>
    <x v="0"/>
    <n v="2.13"/>
    <n v="5"/>
    <n v="0"/>
    <n v="0"/>
    <n v="0"/>
    <n v="0"/>
  </r>
  <r>
    <x v="218"/>
    <x v="4"/>
    <x v="0"/>
    <n v="2.13"/>
    <n v="5"/>
    <n v="1"/>
    <n v="1"/>
    <n v="0"/>
    <n v="0"/>
  </r>
  <r>
    <x v="196"/>
    <x v="4"/>
    <x v="0"/>
    <n v="2.13"/>
    <n v="5"/>
    <n v="0"/>
    <n v="0"/>
    <n v="0"/>
    <n v="0"/>
  </r>
  <r>
    <x v="207"/>
    <x v="4"/>
    <x v="0"/>
    <n v="2.13"/>
    <n v="5"/>
    <n v="0"/>
    <n v="0"/>
    <n v="0"/>
    <n v="0"/>
  </r>
  <r>
    <x v="219"/>
    <x v="4"/>
    <x v="0"/>
    <n v="1.7"/>
    <n v="4"/>
    <n v="1"/>
    <n v="1"/>
    <n v="0"/>
    <n v="0"/>
  </r>
  <r>
    <x v="219"/>
    <x v="4"/>
    <x v="0"/>
    <n v="1.7"/>
    <n v="4"/>
    <n v="0"/>
    <n v="0"/>
    <n v="0"/>
    <n v="0"/>
  </r>
  <r>
    <x v="205"/>
    <x v="4"/>
    <x v="0"/>
    <n v="1.7"/>
    <n v="4"/>
    <n v="0"/>
    <n v="0"/>
    <n v="0"/>
    <n v="0"/>
  </r>
  <r>
    <x v="195"/>
    <x v="4"/>
    <x v="0"/>
    <n v="1.7"/>
    <n v="4"/>
    <n v="0"/>
    <n v="0"/>
    <n v="0"/>
    <n v="0"/>
  </r>
  <r>
    <x v="170"/>
    <x v="4"/>
    <x v="0"/>
    <n v="1.7"/>
    <n v="4"/>
    <n v="0"/>
    <n v="0"/>
    <n v="0"/>
    <n v="0"/>
  </r>
  <r>
    <x v="174"/>
    <x v="4"/>
    <x v="1"/>
    <n v="7.43"/>
    <n v="4"/>
    <n v="0"/>
    <n v="0"/>
    <n v="0"/>
    <n v="0"/>
  </r>
  <r>
    <x v="164"/>
    <x v="4"/>
    <x v="0"/>
    <n v="1.7"/>
    <n v="4"/>
    <n v="0"/>
    <n v="0"/>
    <n v="0"/>
    <n v="0"/>
  </r>
  <r>
    <x v="205"/>
    <x v="4"/>
    <x v="0"/>
    <n v="1.7"/>
    <n v="4"/>
    <n v="0"/>
    <n v="0"/>
    <n v="0"/>
    <n v="0"/>
  </r>
  <r>
    <x v="176"/>
    <x v="4"/>
    <x v="0"/>
    <n v="1.7"/>
    <n v="4"/>
    <n v="0"/>
    <n v="0"/>
    <n v="0"/>
    <n v="0"/>
  </r>
  <r>
    <x v="220"/>
    <x v="4"/>
    <x v="0"/>
    <n v="1.28"/>
    <n v="3"/>
    <n v="1"/>
    <n v="1"/>
    <n v="0"/>
    <n v="0"/>
  </r>
  <r>
    <x v="206"/>
    <x v="4"/>
    <x v="0"/>
    <n v="1.28"/>
    <n v="3"/>
    <n v="0"/>
    <n v="0"/>
    <n v="0"/>
    <n v="0"/>
  </r>
  <r>
    <x v="177"/>
    <x v="4"/>
    <x v="0"/>
    <n v="1.28"/>
    <n v="3"/>
    <n v="0"/>
    <n v="0"/>
    <n v="0"/>
    <n v="0"/>
  </r>
  <r>
    <x v="221"/>
    <x v="4"/>
    <x v="0"/>
    <n v="1.28"/>
    <n v="3"/>
    <n v="1"/>
    <n v="1"/>
    <n v="0"/>
    <n v="0"/>
  </r>
  <r>
    <x v="222"/>
    <x v="4"/>
    <x v="0"/>
    <n v="1.28"/>
    <n v="3"/>
    <n v="1"/>
    <n v="1"/>
    <n v="0"/>
    <n v="0"/>
  </r>
  <r>
    <x v="167"/>
    <x v="4"/>
    <x v="0"/>
    <n v="0"/>
    <n v="3"/>
    <n v="0"/>
    <n v="0"/>
    <n v="0"/>
    <n v="0"/>
  </r>
  <r>
    <x v="223"/>
    <x v="4"/>
    <x v="0"/>
    <n v="0.85"/>
    <n v="2"/>
    <n v="1"/>
    <n v="1"/>
    <n v="0"/>
    <n v="0"/>
  </r>
  <r>
    <x v="213"/>
    <x v="4"/>
    <x v="2"/>
    <n v="7.43"/>
    <n v="2"/>
    <n v="0"/>
    <n v="0"/>
    <n v="0"/>
    <n v="0"/>
  </r>
  <r>
    <x v="163"/>
    <x v="4"/>
    <x v="0"/>
    <n v="0.85"/>
    <n v="2"/>
    <n v="0"/>
    <n v="0"/>
    <n v="0"/>
    <n v="0"/>
  </r>
  <r>
    <x v="183"/>
    <x v="4"/>
    <x v="0"/>
    <n v="0.85"/>
    <n v="2"/>
    <n v="0"/>
    <n v="0"/>
    <n v="0"/>
    <n v="0"/>
  </r>
  <r>
    <x v="160"/>
    <x v="4"/>
    <x v="0"/>
    <n v="0.85"/>
    <n v="2"/>
    <n v="0"/>
    <n v="0"/>
    <n v="0"/>
    <n v="0"/>
  </r>
  <r>
    <x v="201"/>
    <x v="4"/>
    <x v="0"/>
    <n v="0.85"/>
    <n v="2"/>
    <n v="0"/>
    <n v="0"/>
    <n v="0"/>
    <n v="0"/>
  </r>
  <r>
    <x v="198"/>
    <x v="4"/>
    <x v="0"/>
    <n v="0.85"/>
    <n v="2"/>
    <n v="0"/>
    <n v="0"/>
    <n v="0"/>
    <n v="0"/>
  </r>
  <r>
    <x v="197"/>
    <x v="4"/>
    <x v="0"/>
    <n v="0.85"/>
    <n v="2"/>
    <n v="0"/>
    <n v="0"/>
    <n v="0"/>
    <n v="0"/>
  </r>
  <r>
    <x v="203"/>
    <x v="4"/>
    <x v="0"/>
    <n v="0.85"/>
    <n v="2"/>
    <n v="0"/>
    <n v="0"/>
    <n v="0"/>
    <n v="0"/>
  </r>
  <r>
    <x v="203"/>
    <x v="4"/>
    <x v="0"/>
    <n v="0.85"/>
    <n v="2"/>
    <n v="0"/>
    <n v="0"/>
    <n v="0"/>
    <n v="0"/>
  </r>
  <r>
    <x v="215"/>
    <x v="4"/>
    <x v="0"/>
    <n v="0.43"/>
    <n v="1"/>
    <n v="0"/>
    <n v="0"/>
    <n v="0"/>
    <n v="0"/>
  </r>
  <r>
    <x v="223"/>
    <x v="4"/>
    <x v="0"/>
    <n v="0.43"/>
    <n v="1"/>
    <n v="0"/>
    <n v="0"/>
    <n v="0"/>
    <n v="0"/>
  </r>
  <r>
    <x v="204"/>
    <x v="4"/>
    <x v="1"/>
    <n v="7.43"/>
    <n v="1"/>
    <n v="0"/>
    <n v="0"/>
    <n v="0"/>
    <n v="0"/>
  </r>
  <r>
    <x v="162"/>
    <x v="4"/>
    <x v="0"/>
    <n v="0.43"/>
    <n v="1"/>
    <n v="0"/>
    <n v="0"/>
    <n v="0"/>
    <n v="0"/>
  </r>
  <r>
    <x v="211"/>
    <x v="4"/>
    <x v="0"/>
    <n v="0.43"/>
    <n v="1"/>
    <n v="0"/>
    <n v="1"/>
    <n v="0"/>
    <n v="0"/>
  </r>
  <r>
    <x v="192"/>
    <x v="4"/>
    <x v="0"/>
    <n v="0.43"/>
    <n v="1"/>
    <n v="0"/>
    <n v="0"/>
    <n v="0"/>
    <n v="0"/>
  </r>
  <r>
    <x v="198"/>
    <x v="4"/>
    <x v="0"/>
    <n v="0.43"/>
    <n v="1"/>
    <n v="0"/>
    <n v="0"/>
    <n v="0"/>
    <n v="0"/>
  </r>
  <r>
    <x v="218"/>
    <x v="4"/>
    <x v="0"/>
    <n v="0.43"/>
    <n v="1"/>
    <n v="0"/>
    <n v="0"/>
    <n v="0"/>
    <n v="0"/>
  </r>
  <r>
    <x v="176"/>
    <x v="4"/>
    <x v="0"/>
    <n v="0.43"/>
    <n v="1"/>
    <n v="0"/>
    <n v="0"/>
    <n v="0"/>
    <n v="0"/>
  </r>
  <r>
    <x v="224"/>
    <x v="4"/>
    <x v="0"/>
    <n v="0.43"/>
    <n v="1"/>
    <n v="1"/>
    <n v="1"/>
    <n v="0"/>
    <n v="0"/>
  </r>
  <r>
    <x v="206"/>
    <x v="4"/>
    <x v="0"/>
    <n v="0"/>
    <n v="1"/>
    <n v="0"/>
    <n v="0"/>
    <n v="0"/>
    <n v="0"/>
  </r>
  <r>
    <x v="163"/>
    <x v="4"/>
    <x v="0"/>
    <n v="0.43"/>
    <n v="1"/>
    <n v="0"/>
    <n v="0"/>
    <n v="0"/>
    <n v="0"/>
  </r>
  <r>
    <x v="177"/>
    <x v="4"/>
    <x v="0"/>
    <n v="0.43"/>
    <n v="1"/>
    <n v="0"/>
    <n v="0"/>
    <n v="0"/>
    <n v="0"/>
  </r>
  <r>
    <x v="218"/>
    <x v="4"/>
    <x v="1"/>
    <n v="7.43"/>
    <n v="1"/>
    <n v="0"/>
    <n v="0"/>
    <n v="0"/>
    <n v="0"/>
  </r>
  <r>
    <x v="158"/>
    <x v="4"/>
    <x v="0"/>
    <n v="0.43"/>
    <n v="1"/>
    <n v="0"/>
    <n v="0"/>
    <n v="0"/>
    <n v="0"/>
  </r>
  <r>
    <x v="197"/>
    <x v="4"/>
    <x v="0"/>
    <n v="0.43"/>
    <n v="1"/>
    <n v="0"/>
    <n v="0"/>
    <n v="0"/>
    <n v="0"/>
  </r>
  <r>
    <x v="225"/>
    <x v="4"/>
    <x v="0"/>
    <n v="0.43"/>
    <n v="1"/>
    <n v="1"/>
    <n v="1"/>
    <n v="0"/>
    <n v="0"/>
  </r>
  <r>
    <x v="226"/>
    <x v="4"/>
    <x v="0"/>
    <n v="0.43"/>
    <n v="1"/>
    <n v="1"/>
    <n v="1"/>
    <n v="0"/>
    <n v="0"/>
  </r>
  <r>
    <x v="188"/>
    <x v="4"/>
    <x v="0"/>
    <n v="0.43"/>
    <n v="1"/>
    <n v="0"/>
    <n v="0"/>
    <n v="0"/>
    <n v="0"/>
  </r>
  <r>
    <x v="227"/>
    <x v="4"/>
    <x v="0"/>
    <n v="0.43"/>
    <n v="1"/>
    <n v="1"/>
    <n v="1"/>
    <n v="0"/>
    <n v="0"/>
  </r>
  <r>
    <x v="182"/>
    <x v="4"/>
    <x v="0"/>
    <n v="0.43"/>
    <n v="1"/>
    <n v="0"/>
    <n v="0"/>
    <n v="0"/>
    <n v="0"/>
  </r>
  <r>
    <x v="207"/>
    <x v="4"/>
    <x v="0"/>
    <n v="0.43"/>
    <n v="1"/>
    <n v="0"/>
    <n v="0"/>
    <n v="0"/>
    <n v="0"/>
  </r>
  <r>
    <x v="228"/>
    <x v="4"/>
    <x v="0"/>
    <n v="0"/>
    <n v="0"/>
    <n v="1"/>
    <n v="1"/>
    <n v="0"/>
    <n v="0"/>
  </r>
  <r>
    <x v="159"/>
    <x v="4"/>
    <x v="0"/>
    <n v="0"/>
    <n v="0"/>
    <n v="0"/>
    <n v="0"/>
    <n v="0"/>
    <n v="0"/>
  </r>
  <r>
    <x v="229"/>
    <x v="5"/>
    <x v="0"/>
    <n v="0"/>
    <n v="0"/>
    <n v="1"/>
    <n v="1"/>
    <n v="1"/>
    <n v="0"/>
  </r>
  <r>
    <x v="230"/>
    <x v="5"/>
    <x v="0"/>
    <n v="4.26"/>
    <n v="1"/>
    <n v="1"/>
    <n v="1"/>
    <n v="1"/>
    <n v="0"/>
  </r>
  <r>
    <x v="231"/>
    <x v="5"/>
    <x v="0"/>
    <n v="4.26"/>
    <n v="1"/>
    <n v="1"/>
    <n v="1"/>
    <n v="1"/>
    <n v="0"/>
  </r>
  <r>
    <x v="232"/>
    <x v="5"/>
    <x v="0"/>
    <n v="4.26"/>
    <n v="1"/>
    <n v="1"/>
    <n v="1"/>
    <n v="1"/>
    <n v="0"/>
  </r>
  <r>
    <x v="233"/>
    <x v="5"/>
    <x v="0"/>
    <n v="4.26"/>
    <n v="1"/>
    <n v="1"/>
    <n v="1"/>
    <n v="1"/>
    <n v="0"/>
  </r>
  <r>
    <x v="234"/>
    <x v="5"/>
    <x v="0"/>
    <n v="4.26"/>
    <n v="1"/>
    <n v="1"/>
    <n v="1"/>
    <n v="1"/>
    <n v="0"/>
  </r>
  <r>
    <x v="235"/>
    <x v="5"/>
    <x v="0"/>
    <n v="4.26"/>
    <n v="1"/>
    <n v="1"/>
    <n v="1"/>
    <n v="1"/>
    <n v="0"/>
  </r>
  <r>
    <x v="236"/>
    <x v="5"/>
    <x v="0"/>
    <n v="4.26"/>
    <n v="1"/>
    <n v="1"/>
    <n v="1"/>
    <n v="1"/>
    <n v="0"/>
  </r>
  <r>
    <x v="237"/>
    <x v="5"/>
    <x v="0"/>
    <n v="4.26"/>
    <n v="1"/>
    <n v="1"/>
    <n v="1"/>
    <n v="1"/>
    <n v="0"/>
  </r>
  <r>
    <x v="238"/>
    <x v="5"/>
    <x v="0"/>
    <n v="4.26"/>
    <n v="1"/>
    <n v="1"/>
    <n v="1"/>
    <n v="1"/>
    <n v="0"/>
  </r>
  <r>
    <x v="239"/>
    <x v="5"/>
    <x v="0"/>
    <n v="4.26"/>
    <n v="1"/>
    <n v="1"/>
    <n v="1"/>
    <n v="1"/>
    <n v="0"/>
  </r>
  <r>
    <x v="240"/>
    <x v="5"/>
    <x v="1"/>
    <n v="7.43"/>
    <n v="1"/>
    <n v="1"/>
    <n v="0"/>
    <n v="1"/>
    <n v="0"/>
  </r>
  <r>
    <x v="241"/>
    <x v="5"/>
    <x v="0"/>
    <n v="4.26"/>
    <n v="1"/>
    <n v="1"/>
    <n v="1"/>
    <n v="1"/>
    <n v="0"/>
  </r>
  <r>
    <x v="231"/>
    <x v="5"/>
    <x v="0"/>
    <n v="4.26"/>
    <n v="1"/>
    <n v="0"/>
    <n v="0"/>
    <n v="0"/>
    <n v="0"/>
  </r>
  <r>
    <x v="242"/>
    <x v="5"/>
    <x v="1"/>
    <n v="7.43"/>
    <n v="1"/>
    <n v="1"/>
    <n v="0"/>
    <n v="1"/>
    <n v="0"/>
  </r>
  <r>
    <x v="243"/>
    <x v="5"/>
    <x v="0"/>
    <n v="4.26"/>
    <n v="2"/>
    <n v="1"/>
    <n v="1"/>
    <n v="1"/>
    <n v="0"/>
  </r>
  <r>
    <x v="244"/>
    <x v="5"/>
    <x v="0"/>
    <n v="4.26"/>
    <n v="2"/>
    <n v="1"/>
    <n v="1"/>
    <n v="1"/>
    <n v="0"/>
  </r>
  <r>
    <x v="245"/>
    <x v="5"/>
    <x v="0"/>
    <n v="4.26"/>
    <n v="2"/>
    <n v="1"/>
    <n v="1"/>
    <n v="1"/>
    <n v="0"/>
  </r>
  <r>
    <x v="246"/>
    <x v="5"/>
    <x v="0"/>
    <n v="4.26"/>
    <n v="2"/>
    <n v="1"/>
    <n v="1"/>
    <n v="1"/>
    <n v="0"/>
  </r>
  <r>
    <x v="236"/>
    <x v="5"/>
    <x v="0"/>
    <n v="4.26"/>
    <n v="2"/>
    <n v="0"/>
    <n v="0"/>
    <n v="0"/>
    <n v="0"/>
  </r>
  <r>
    <x v="247"/>
    <x v="5"/>
    <x v="0"/>
    <n v="4.26"/>
    <n v="2"/>
    <n v="1"/>
    <n v="1"/>
    <n v="1"/>
    <n v="0"/>
  </r>
  <r>
    <x v="248"/>
    <x v="5"/>
    <x v="0"/>
    <n v="4.26"/>
    <n v="2"/>
    <n v="1"/>
    <n v="1"/>
    <n v="1"/>
    <n v="0"/>
  </r>
  <r>
    <x v="249"/>
    <x v="5"/>
    <x v="0"/>
    <n v="4.26"/>
    <n v="3"/>
    <n v="1"/>
    <n v="1"/>
    <n v="1"/>
    <n v="0"/>
  </r>
  <r>
    <x v="250"/>
    <x v="5"/>
    <x v="0"/>
    <n v="4.26"/>
    <n v="3"/>
    <n v="1"/>
    <n v="1"/>
    <n v="1"/>
    <n v="0"/>
  </r>
  <r>
    <x v="251"/>
    <x v="5"/>
    <x v="0"/>
    <n v="4.26"/>
    <n v="3"/>
    <n v="1"/>
    <n v="1"/>
    <n v="1"/>
    <n v="0"/>
  </r>
  <r>
    <x v="248"/>
    <x v="5"/>
    <x v="0"/>
    <n v="4.26"/>
    <n v="3"/>
    <n v="0"/>
    <n v="0"/>
    <n v="0"/>
    <n v="0"/>
  </r>
  <r>
    <x v="252"/>
    <x v="5"/>
    <x v="0"/>
    <n v="4.26"/>
    <n v="3"/>
    <n v="1"/>
    <n v="1"/>
    <n v="1"/>
    <n v="0"/>
  </r>
  <r>
    <x v="242"/>
    <x v="5"/>
    <x v="0"/>
    <n v="4.26"/>
    <n v="4"/>
    <n v="0"/>
    <n v="1"/>
    <n v="0"/>
    <n v="0"/>
  </r>
  <r>
    <x v="253"/>
    <x v="5"/>
    <x v="0"/>
    <n v="4.26"/>
    <n v="4"/>
    <n v="1"/>
    <n v="1"/>
    <n v="1"/>
    <n v="0"/>
  </r>
  <r>
    <x v="254"/>
    <x v="5"/>
    <x v="0"/>
    <n v="4.26"/>
    <n v="4"/>
    <n v="1"/>
    <n v="1"/>
    <n v="1"/>
    <n v="0"/>
  </r>
  <r>
    <x v="255"/>
    <x v="5"/>
    <x v="0"/>
    <n v="0"/>
    <n v="4"/>
    <n v="1"/>
    <n v="1"/>
    <n v="1"/>
    <n v="0"/>
  </r>
  <r>
    <x v="238"/>
    <x v="5"/>
    <x v="0"/>
    <n v="4.26"/>
    <n v="4"/>
    <n v="0"/>
    <n v="0"/>
    <n v="0"/>
    <n v="0"/>
  </r>
  <r>
    <x v="252"/>
    <x v="5"/>
    <x v="0"/>
    <n v="4.26"/>
    <n v="5"/>
    <n v="0"/>
    <n v="0"/>
    <n v="0"/>
    <n v="0"/>
  </r>
  <r>
    <x v="256"/>
    <x v="5"/>
    <x v="0"/>
    <n v="4.26"/>
    <n v="5"/>
    <n v="1"/>
    <n v="1"/>
    <n v="1"/>
    <n v="0"/>
  </r>
  <r>
    <x v="257"/>
    <x v="5"/>
    <x v="0"/>
    <n v="4.26"/>
    <n v="5"/>
    <n v="1"/>
    <n v="1"/>
    <n v="1"/>
    <n v="0"/>
  </r>
  <r>
    <x v="258"/>
    <x v="5"/>
    <x v="0"/>
    <n v="4.26"/>
    <n v="5"/>
    <n v="1"/>
    <n v="1"/>
    <n v="1"/>
    <n v="0"/>
  </r>
  <r>
    <x v="251"/>
    <x v="5"/>
    <x v="0"/>
    <n v="4.26"/>
    <n v="5"/>
    <n v="0"/>
    <n v="0"/>
    <n v="0"/>
    <n v="0"/>
  </r>
  <r>
    <x v="259"/>
    <x v="5"/>
    <x v="0"/>
    <n v="4.26"/>
    <n v="6"/>
    <n v="1"/>
    <n v="1"/>
    <n v="1"/>
    <n v="0"/>
  </r>
  <r>
    <x v="260"/>
    <x v="5"/>
    <x v="0"/>
    <n v="4.26"/>
    <n v="6"/>
    <n v="1"/>
    <n v="1"/>
    <n v="1"/>
    <n v="0"/>
  </r>
  <r>
    <x v="261"/>
    <x v="5"/>
    <x v="0"/>
    <n v="4.26"/>
    <n v="6"/>
    <n v="1"/>
    <n v="1"/>
    <n v="1"/>
    <n v="0"/>
  </r>
  <r>
    <x v="262"/>
    <x v="5"/>
    <x v="0"/>
    <n v="4.26"/>
    <n v="6"/>
    <n v="1"/>
    <n v="1"/>
    <n v="1"/>
    <n v="0"/>
  </r>
  <r>
    <x v="263"/>
    <x v="5"/>
    <x v="0"/>
    <n v="4.26"/>
    <n v="6"/>
    <n v="1"/>
    <n v="1"/>
    <n v="1"/>
    <n v="0"/>
  </r>
  <r>
    <x v="254"/>
    <x v="5"/>
    <x v="0"/>
    <n v="4.26"/>
    <n v="6"/>
    <n v="0"/>
    <n v="0"/>
    <n v="0"/>
    <n v="0"/>
  </r>
  <r>
    <x v="264"/>
    <x v="5"/>
    <x v="0"/>
    <n v="4.26"/>
    <n v="7"/>
    <n v="1"/>
    <n v="1"/>
    <n v="1"/>
    <n v="0"/>
  </r>
  <r>
    <x v="265"/>
    <x v="5"/>
    <x v="0"/>
    <n v="4.26"/>
    <n v="7"/>
    <n v="1"/>
    <n v="1"/>
    <n v="1"/>
    <n v="0"/>
  </r>
  <r>
    <x v="244"/>
    <x v="5"/>
    <x v="0"/>
    <n v="4.26"/>
    <n v="7"/>
    <n v="0"/>
    <n v="0"/>
    <n v="0"/>
    <n v="0"/>
  </r>
  <r>
    <x v="266"/>
    <x v="5"/>
    <x v="0"/>
    <n v="4.26"/>
    <n v="7"/>
    <n v="1"/>
    <n v="1"/>
    <n v="1"/>
    <n v="0"/>
  </r>
  <r>
    <x v="255"/>
    <x v="5"/>
    <x v="0"/>
    <n v="4.26"/>
    <n v="7"/>
    <n v="0"/>
    <n v="0"/>
    <n v="0"/>
    <n v="0"/>
  </r>
  <r>
    <x v="240"/>
    <x v="5"/>
    <x v="0"/>
    <n v="4.26"/>
    <n v="7"/>
    <n v="0"/>
    <n v="1"/>
    <n v="0"/>
    <n v="0"/>
  </r>
  <r>
    <x v="267"/>
    <x v="5"/>
    <x v="0"/>
    <n v="4.26"/>
    <n v="8"/>
    <n v="1"/>
    <n v="1"/>
    <n v="1"/>
    <n v="0"/>
  </r>
  <r>
    <x v="268"/>
    <x v="5"/>
    <x v="0"/>
    <n v="4.26"/>
    <n v="8"/>
    <n v="1"/>
    <n v="1"/>
    <n v="1"/>
    <n v="0"/>
  </r>
  <r>
    <x v="269"/>
    <x v="5"/>
    <x v="0"/>
    <n v="4.26"/>
    <n v="8"/>
    <n v="1"/>
    <n v="1"/>
    <n v="1"/>
    <n v="0"/>
  </r>
  <r>
    <x v="270"/>
    <x v="5"/>
    <x v="0"/>
    <n v="4.26"/>
    <n v="8"/>
    <n v="1"/>
    <n v="1"/>
    <n v="1"/>
    <n v="0"/>
  </r>
  <r>
    <x v="271"/>
    <x v="5"/>
    <x v="0"/>
    <n v="4.26"/>
    <n v="8"/>
    <n v="1"/>
    <n v="1"/>
    <n v="1"/>
    <n v="0"/>
  </r>
  <r>
    <x v="272"/>
    <x v="5"/>
    <x v="0"/>
    <n v="4.26"/>
    <n v="9"/>
    <n v="1"/>
    <n v="1"/>
    <n v="1"/>
    <n v="0"/>
  </r>
  <r>
    <x v="237"/>
    <x v="5"/>
    <x v="0"/>
    <n v="4.26"/>
    <n v="9"/>
    <n v="0"/>
    <n v="0"/>
    <n v="0"/>
    <n v="0"/>
  </r>
  <r>
    <x v="246"/>
    <x v="5"/>
    <x v="0"/>
    <n v="4.26"/>
    <n v="9"/>
    <n v="0"/>
    <n v="0"/>
    <n v="0"/>
    <n v="0"/>
  </r>
  <r>
    <x v="273"/>
    <x v="5"/>
    <x v="0"/>
    <n v="4.26"/>
    <n v="10"/>
    <n v="1"/>
    <n v="1"/>
    <n v="1"/>
    <n v="0"/>
  </r>
  <r>
    <x v="274"/>
    <x v="5"/>
    <x v="0"/>
    <n v="4.26"/>
    <n v="10"/>
    <n v="1"/>
    <n v="1"/>
    <n v="1"/>
    <n v="0"/>
  </r>
  <r>
    <x v="275"/>
    <x v="5"/>
    <x v="0"/>
    <n v="4.26"/>
    <n v="10"/>
    <n v="1"/>
    <n v="1"/>
    <n v="1"/>
    <n v="0"/>
  </r>
  <r>
    <x v="241"/>
    <x v="5"/>
    <x v="0"/>
    <n v="4.26"/>
    <n v="10"/>
    <n v="0"/>
    <n v="0"/>
    <n v="0"/>
    <n v="0"/>
  </r>
  <r>
    <x v="276"/>
    <x v="5"/>
    <x v="0"/>
    <n v="4.26"/>
    <n v="10"/>
    <n v="1"/>
    <n v="1"/>
    <n v="1"/>
    <n v="0"/>
  </r>
  <r>
    <x v="232"/>
    <x v="5"/>
    <x v="0"/>
    <n v="4.26"/>
    <n v="10"/>
    <n v="0"/>
    <n v="0"/>
    <n v="0"/>
    <n v="0"/>
  </r>
  <r>
    <x v="277"/>
    <x v="5"/>
    <x v="0"/>
    <n v="4.26"/>
    <n v="10"/>
    <n v="1"/>
    <n v="1"/>
    <n v="1"/>
    <n v="0"/>
  </r>
  <r>
    <x v="278"/>
    <x v="5"/>
    <x v="0"/>
    <n v="4.26"/>
    <n v="10"/>
    <n v="1"/>
    <n v="1"/>
    <n v="1"/>
    <n v="0"/>
  </r>
  <r>
    <x v="279"/>
    <x v="5"/>
    <x v="0"/>
    <n v="8.52"/>
    <n v="11"/>
    <n v="1"/>
    <n v="1"/>
    <n v="1"/>
    <n v="0"/>
  </r>
  <r>
    <x v="247"/>
    <x v="5"/>
    <x v="0"/>
    <n v="8.52"/>
    <n v="11"/>
    <n v="0"/>
    <n v="0"/>
    <n v="0"/>
    <n v="0"/>
  </r>
  <r>
    <x v="280"/>
    <x v="5"/>
    <x v="0"/>
    <n v="8.52"/>
    <n v="11"/>
    <n v="1"/>
    <n v="1"/>
    <n v="1"/>
    <n v="0"/>
  </r>
  <r>
    <x v="232"/>
    <x v="5"/>
    <x v="0"/>
    <n v="8.52"/>
    <n v="11"/>
    <n v="0"/>
    <n v="0"/>
    <n v="0"/>
    <n v="0"/>
  </r>
  <r>
    <x v="281"/>
    <x v="5"/>
    <x v="1"/>
    <n v="14.87"/>
    <n v="12"/>
    <n v="1"/>
    <n v="0"/>
    <n v="1"/>
    <n v="0"/>
  </r>
  <r>
    <x v="277"/>
    <x v="5"/>
    <x v="0"/>
    <n v="8.52"/>
    <n v="12"/>
    <n v="0"/>
    <n v="0"/>
    <n v="0"/>
    <n v="0"/>
  </r>
  <r>
    <x v="275"/>
    <x v="5"/>
    <x v="0"/>
    <n v="8.52"/>
    <n v="12"/>
    <n v="0"/>
    <n v="0"/>
    <n v="0"/>
    <n v="0"/>
  </r>
  <r>
    <x v="282"/>
    <x v="5"/>
    <x v="0"/>
    <n v="8.52"/>
    <n v="12"/>
    <n v="1"/>
    <n v="1"/>
    <n v="1"/>
    <n v="0"/>
  </r>
  <r>
    <x v="283"/>
    <x v="5"/>
    <x v="0"/>
    <n v="8.52"/>
    <n v="12"/>
    <n v="1"/>
    <n v="1"/>
    <n v="1"/>
    <n v="0"/>
  </r>
  <r>
    <x v="284"/>
    <x v="5"/>
    <x v="0"/>
    <n v="8.52"/>
    <n v="12"/>
    <n v="1"/>
    <n v="1"/>
    <n v="1"/>
    <n v="0"/>
  </r>
  <r>
    <x v="276"/>
    <x v="5"/>
    <x v="0"/>
    <n v="8.52"/>
    <n v="12"/>
    <n v="0"/>
    <n v="0"/>
    <n v="0"/>
    <n v="0"/>
  </r>
  <r>
    <x v="239"/>
    <x v="5"/>
    <x v="0"/>
    <n v="8.52"/>
    <n v="12"/>
    <n v="0"/>
    <n v="0"/>
    <n v="0"/>
    <n v="0"/>
  </r>
  <r>
    <x v="274"/>
    <x v="5"/>
    <x v="0"/>
    <n v="8.52"/>
    <n v="12"/>
    <n v="0"/>
    <n v="0"/>
    <n v="0"/>
    <n v="0"/>
  </r>
  <r>
    <x v="278"/>
    <x v="5"/>
    <x v="0"/>
    <n v="8.52"/>
    <n v="13"/>
    <n v="0"/>
    <n v="0"/>
    <n v="0"/>
    <n v="0"/>
  </r>
  <r>
    <x v="285"/>
    <x v="5"/>
    <x v="0"/>
    <n v="8.52"/>
    <n v="13"/>
    <n v="1"/>
    <n v="1"/>
    <n v="1"/>
    <n v="0"/>
  </r>
  <r>
    <x v="273"/>
    <x v="5"/>
    <x v="0"/>
    <n v="8.52"/>
    <n v="13"/>
    <n v="0"/>
    <n v="0"/>
    <n v="0"/>
    <n v="0"/>
  </r>
  <r>
    <x v="265"/>
    <x v="5"/>
    <x v="0"/>
    <n v="8.52"/>
    <n v="13"/>
    <n v="0"/>
    <n v="0"/>
    <n v="0"/>
    <n v="0"/>
  </r>
  <r>
    <x v="261"/>
    <x v="5"/>
    <x v="3"/>
    <n v="24.5"/>
    <n v="13"/>
    <n v="0"/>
    <n v="0"/>
    <n v="0"/>
    <n v="0"/>
  </r>
  <r>
    <x v="266"/>
    <x v="5"/>
    <x v="0"/>
    <n v="8.52"/>
    <n v="14"/>
    <n v="0"/>
    <n v="0"/>
    <n v="0"/>
    <n v="0"/>
  </r>
  <r>
    <x v="286"/>
    <x v="5"/>
    <x v="0"/>
    <n v="8.52"/>
    <n v="14"/>
    <n v="1"/>
    <n v="1"/>
    <n v="1"/>
    <n v="0"/>
  </r>
  <r>
    <x v="287"/>
    <x v="5"/>
    <x v="0"/>
    <n v="8.52"/>
    <n v="14"/>
    <n v="1"/>
    <n v="1"/>
    <n v="1"/>
    <n v="0"/>
  </r>
  <r>
    <x v="262"/>
    <x v="5"/>
    <x v="0"/>
    <n v="8.52"/>
    <n v="14"/>
    <n v="0"/>
    <n v="0"/>
    <n v="0"/>
    <n v="0"/>
  </r>
  <r>
    <x v="283"/>
    <x v="5"/>
    <x v="0"/>
    <n v="8.52"/>
    <n v="14"/>
    <n v="0"/>
    <n v="0"/>
    <n v="0"/>
    <n v="0"/>
  </r>
  <r>
    <x v="270"/>
    <x v="5"/>
    <x v="0"/>
    <n v="8.52"/>
    <n v="15"/>
    <n v="0"/>
    <n v="0"/>
    <n v="0"/>
    <n v="0"/>
  </r>
  <r>
    <x v="288"/>
    <x v="5"/>
    <x v="0"/>
    <n v="8.52"/>
    <n v="15"/>
    <n v="1"/>
    <n v="1"/>
    <n v="1"/>
    <n v="0"/>
  </r>
  <r>
    <x v="289"/>
    <x v="5"/>
    <x v="0"/>
    <n v="8.52"/>
    <n v="15"/>
    <n v="1"/>
    <n v="1"/>
    <n v="1"/>
    <n v="0"/>
  </r>
  <r>
    <x v="290"/>
    <x v="5"/>
    <x v="0"/>
    <n v="8.52"/>
    <n v="16"/>
    <n v="1"/>
    <n v="1"/>
    <n v="1"/>
    <n v="0"/>
  </r>
  <r>
    <x v="272"/>
    <x v="5"/>
    <x v="0"/>
    <n v="8.52"/>
    <n v="16"/>
    <n v="0"/>
    <n v="0"/>
    <n v="0"/>
    <n v="0"/>
  </r>
  <r>
    <x v="267"/>
    <x v="5"/>
    <x v="0"/>
    <n v="8.52"/>
    <n v="16"/>
    <n v="0"/>
    <n v="0"/>
    <n v="0"/>
    <n v="0"/>
  </r>
  <r>
    <x v="265"/>
    <x v="5"/>
    <x v="0"/>
    <n v="8.52"/>
    <n v="16"/>
    <n v="0"/>
    <n v="0"/>
    <n v="0"/>
    <n v="0"/>
  </r>
  <r>
    <x v="255"/>
    <x v="5"/>
    <x v="0"/>
    <n v="8.52"/>
    <n v="18"/>
    <n v="0"/>
    <n v="0"/>
    <n v="0"/>
    <n v="0"/>
  </r>
  <r>
    <x v="271"/>
    <x v="5"/>
    <x v="0"/>
    <n v="8.52"/>
    <n v="18"/>
    <n v="0"/>
    <n v="0"/>
    <n v="0"/>
    <n v="0"/>
  </r>
  <r>
    <x v="278"/>
    <x v="5"/>
    <x v="0"/>
    <n v="8.52"/>
    <n v="19"/>
    <n v="0"/>
    <n v="0"/>
    <n v="0"/>
    <n v="0"/>
  </r>
  <r>
    <x v="235"/>
    <x v="5"/>
    <x v="0"/>
    <n v="12.79"/>
    <n v="21"/>
    <n v="0"/>
    <n v="0"/>
    <n v="0"/>
    <n v="0"/>
  </r>
  <r>
    <x v="291"/>
    <x v="5"/>
    <x v="0"/>
    <n v="12.79"/>
    <n v="22"/>
    <n v="1"/>
    <n v="1"/>
    <n v="1"/>
    <n v="0"/>
  </r>
  <r>
    <x v="250"/>
    <x v="5"/>
    <x v="0"/>
    <n v="12.79"/>
    <n v="22"/>
    <n v="0"/>
    <n v="0"/>
    <n v="0"/>
    <n v="0"/>
  </r>
  <r>
    <x v="233"/>
    <x v="5"/>
    <x v="0"/>
    <n v="12.79"/>
    <n v="22"/>
    <n v="0"/>
    <n v="0"/>
    <n v="0"/>
    <n v="0"/>
  </r>
  <r>
    <x v="285"/>
    <x v="5"/>
    <x v="0"/>
    <n v="12.79"/>
    <n v="22"/>
    <n v="0"/>
    <n v="0"/>
    <n v="0"/>
    <n v="0"/>
  </r>
  <r>
    <x v="239"/>
    <x v="5"/>
    <x v="0"/>
    <n v="12.79"/>
    <n v="23"/>
    <n v="0"/>
    <n v="0"/>
    <n v="0"/>
    <n v="0"/>
  </r>
  <r>
    <x v="250"/>
    <x v="5"/>
    <x v="1"/>
    <n v="22.3"/>
    <n v="24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DA029-C985-4F9B-89FE-3586B863398B}" name="Сводная таблица2" cacheId="21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K5:L15" firstHeaderRow="1" firstDataRow="1" firstDataCol="1"/>
  <pivotFields count="9">
    <pivotField showAll="0" sortType="descending">
      <items count="293">
        <item x="1"/>
        <item x="40"/>
        <item x="2"/>
        <item x="3"/>
        <item x="23"/>
        <item x="24"/>
        <item x="46"/>
        <item x="4"/>
        <item x="33"/>
        <item x="34"/>
        <item x="71"/>
        <item x="86"/>
        <item x="65"/>
        <item x="17"/>
        <item x="95"/>
        <item x="35"/>
        <item x="18"/>
        <item x="49"/>
        <item x="94"/>
        <item x="84"/>
        <item x="80"/>
        <item x="74"/>
        <item x="60"/>
        <item x="87"/>
        <item x="85"/>
        <item x="81"/>
        <item x="72"/>
        <item x="92"/>
        <item x="82"/>
        <item x="93"/>
        <item x="54"/>
        <item x="73"/>
        <item x="53"/>
        <item x="75"/>
        <item x="59"/>
        <item x="66"/>
        <item x="29"/>
        <item x="83"/>
        <item x="61"/>
        <item x="19"/>
        <item x="77"/>
        <item x="16"/>
        <item x="64"/>
        <item x="78"/>
        <item x="13"/>
        <item x="7"/>
        <item x="63"/>
        <item x="43"/>
        <item x="41"/>
        <item x="55"/>
        <item x="25"/>
        <item x="5"/>
        <item x="51"/>
        <item x="8"/>
        <item x="56"/>
        <item x="20"/>
        <item x="44"/>
        <item x="26"/>
        <item x="68"/>
        <item x="6"/>
        <item x="21"/>
        <item x="9"/>
        <item x="12"/>
        <item x="28"/>
        <item x="10"/>
        <item x="11"/>
        <item x="37"/>
        <item x="0"/>
        <item x="62"/>
        <item x="27"/>
        <item x="91"/>
        <item x="90"/>
        <item x="50"/>
        <item x="67"/>
        <item x="38"/>
        <item x="58"/>
        <item x="69"/>
        <item x="22"/>
        <item x="42"/>
        <item x="76"/>
        <item x="36"/>
        <item x="14"/>
        <item x="70"/>
        <item x="45"/>
        <item x="52"/>
        <item x="30"/>
        <item x="88"/>
        <item x="39"/>
        <item x="47"/>
        <item x="57"/>
        <item x="79"/>
        <item x="31"/>
        <item x="48"/>
        <item x="15"/>
        <item x="32"/>
        <item x="89"/>
        <item x="113"/>
        <item x="127"/>
        <item x="108"/>
        <item x="126"/>
        <item x="109"/>
        <item x="103"/>
        <item x="114"/>
        <item x="117"/>
        <item x="115"/>
        <item x="116"/>
        <item x="125"/>
        <item x="124"/>
        <item x="104"/>
        <item x="111"/>
        <item x="96"/>
        <item x="120"/>
        <item x="97"/>
        <item x="100"/>
        <item x="122"/>
        <item x="118"/>
        <item x="98"/>
        <item x="121"/>
        <item x="99"/>
        <item x="101"/>
        <item x="123"/>
        <item x="119"/>
        <item x="110"/>
        <item x="102"/>
        <item x="106"/>
        <item x="107"/>
        <item x="105"/>
        <item x="112"/>
        <item x="131"/>
        <item x="132"/>
        <item x="135"/>
        <item x="141"/>
        <item x="130"/>
        <item x="129"/>
        <item x="137"/>
        <item x="134"/>
        <item x="128"/>
        <item x="136"/>
        <item x="143"/>
        <item x="140"/>
        <item x="144"/>
        <item x="139"/>
        <item x="138"/>
        <item x="133"/>
        <item x="142"/>
        <item x="147"/>
        <item x="146"/>
        <item x="148"/>
        <item x="145"/>
        <item x="149"/>
        <item x="150"/>
        <item x="152"/>
        <item x="151"/>
        <item x="215"/>
        <item x="213"/>
        <item x="219"/>
        <item x="223"/>
        <item x="204"/>
        <item x="216"/>
        <item x="220"/>
        <item x="205"/>
        <item x="162"/>
        <item x="206"/>
        <item x="195"/>
        <item x="163"/>
        <item x="228"/>
        <item x="211"/>
        <item x="169"/>
        <item x="183"/>
        <item x="186"/>
        <item x="172"/>
        <item x="170"/>
        <item x="159"/>
        <item x="192"/>
        <item x="168"/>
        <item x="193"/>
        <item x="177"/>
        <item x="160"/>
        <item x="198"/>
        <item x="173"/>
        <item x="201"/>
        <item x="210"/>
        <item x="174"/>
        <item x="197"/>
        <item x="218"/>
        <item x="175"/>
        <item x="176"/>
        <item x="164"/>
        <item x="194"/>
        <item x="224"/>
        <item x="221"/>
        <item x="217"/>
        <item x="187"/>
        <item x="185"/>
        <item x="199"/>
        <item x="165"/>
        <item x="158"/>
        <item x="181"/>
        <item x="184"/>
        <item x="166"/>
        <item x="188"/>
        <item x="191"/>
        <item x="154"/>
        <item x="196"/>
        <item x="178"/>
        <item x="155"/>
        <item x="153"/>
        <item x="227"/>
        <item x="180"/>
        <item x="208"/>
        <item x="214"/>
        <item x="209"/>
        <item x="212"/>
        <item x="156"/>
        <item x="222"/>
        <item x="225"/>
        <item x="157"/>
        <item x="189"/>
        <item x="226"/>
        <item x="190"/>
        <item x="161"/>
        <item x="179"/>
        <item x="200"/>
        <item x="171"/>
        <item x="202"/>
        <item x="167"/>
        <item x="207"/>
        <item x="182"/>
        <item x="20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6">
        <item x="0"/>
        <item x="4"/>
        <item x="2"/>
        <item x="1"/>
        <item x="3"/>
        <item t="default"/>
      </items>
    </pivotField>
    <pivotField showAll="0"/>
    <pivotField dataField="1" numFmtId="2" showAll="0"/>
    <pivotField showAll="0"/>
    <pivotField showAll="0"/>
    <pivotField showAll="0"/>
    <pivotField showAll="0"/>
  </pivotFields>
  <rowFields count="2">
    <field x="1"/>
    <field x="2"/>
  </rowFields>
  <rowItems count="10">
    <i>
      <x/>
    </i>
    <i>
      <x v="1"/>
    </i>
    <i>
      <x v="2"/>
    </i>
    <i>
      <x v="3"/>
    </i>
    <i>
      <x v="4"/>
    </i>
    <i>
      <x v="5"/>
    </i>
    <i r="1">
      <x/>
    </i>
    <i r="1">
      <x v="3"/>
    </i>
    <i r="1">
      <x v="4"/>
    </i>
    <i t="grand">
      <x/>
    </i>
  </rowItems>
  <colItems count="1">
    <i/>
  </colItems>
  <dataFields count="1">
    <dataField name="Сумма по полю Продолжительность разговора, секунды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F27"/>
  <sheetViews>
    <sheetView tabSelected="1" topLeftCell="A13" zoomScale="85" zoomScaleNormal="85" workbookViewId="0">
      <selection activeCell="D16" sqref="D16"/>
    </sheetView>
  </sheetViews>
  <sheetFormatPr defaultColWidth="9.109375" defaultRowHeight="14.4"/>
  <cols>
    <col min="1" max="1" width="2.33203125" style="5" customWidth="1"/>
    <col min="2" max="2" width="12.44140625" style="9" customWidth="1"/>
    <col min="3" max="3" width="63.6640625" style="8" customWidth="1"/>
    <col min="4" max="4" width="21.109375" style="4" customWidth="1"/>
    <col min="5" max="5" width="1.6640625" style="7" customWidth="1"/>
    <col min="6" max="6" width="20.5546875" style="9" customWidth="1"/>
    <col min="7" max="7" width="16.44140625" style="8" customWidth="1"/>
    <col min="8" max="13" width="15.6640625" style="8" customWidth="1"/>
    <col min="14" max="14" width="16.5546875" style="8" customWidth="1"/>
    <col min="15" max="15" width="15.6640625" style="27" hidden="1" customWidth="1"/>
    <col min="16" max="16" width="8" style="28" hidden="1" customWidth="1"/>
    <col min="17" max="32" width="15.6640625" style="7" customWidth="1"/>
    <col min="33" max="33" width="15.6640625" style="10" customWidth="1"/>
    <col min="34" max="16384" width="9.109375" style="10"/>
  </cols>
  <sheetData>
    <row r="2" spans="1:16">
      <c r="B2" s="6" t="s">
        <v>10</v>
      </c>
      <c r="C2" s="6" t="s">
        <v>16</v>
      </c>
      <c r="D2" s="14" t="s">
        <v>14</v>
      </c>
      <c r="F2" s="6" t="s">
        <v>15</v>
      </c>
    </row>
    <row r="3" spans="1:16" ht="45.75" customHeight="1">
      <c r="A3" s="5">
        <v>1</v>
      </c>
      <c r="B3" s="11">
        <v>1</v>
      </c>
      <c r="C3" s="12" t="s">
        <v>11</v>
      </c>
      <c r="D3" s="2">
        <f>SUM('База данных'!D1:D624)</f>
        <v>3899.5800000000108</v>
      </c>
      <c r="F3" s="11" t="str">
        <f>IF(ISERROR(IF(ROUND(D3,2)=ROUND(O3,2),"Правильный ответ","Неправильный ответ")),"Неправильный ответ",IF(ROUND(D3,2)=ROUND(O3,2),"Правильный ответ","Неправильный ответ"))</f>
        <v>Правильный ответ</v>
      </c>
      <c r="O3" s="5">
        <v>3899.58</v>
      </c>
      <c r="P3" s="31"/>
    </row>
    <row r="4" spans="1:16" ht="45.75" customHeight="1">
      <c r="A4" s="5">
        <v>2</v>
      </c>
      <c r="B4" s="11">
        <f>IF(C4="","",A4)</f>
        <v>2</v>
      </c>
      <c r="C4" s="12" t="str">
        <f>IF(F3="Правильный ответ","Вычислите общую продолжительность разговоров для всех абонентов в секундах","")</f>
        <v>Вычислите общую продолжительность разговоров для всех абонентов в секундах</v>
      </c>
      <c r="D4" s="41">
        <f>SUM('База данных'!E1:E624)</f>
        <v>7883</v>
      </c>
      <c r="F4" s="11" t="str">
        <f t="shared" ref="F4:F25" si="0">IF(ISERROR(IF(D4=D4,"Правильный ответ","Неправильный ответ")),"Неправильный ответ",IF(D4=O4,"Правильный ответ","Неправильный ответ"))</f>
        <v>Правильный ответ</v>
      </c>
      <c r="O4" s="5">
        <v>7883</v>
      </c>
      <c r="P4" s="31"/>
    </row>
    <row r="5" spans="1:16" ht="45.75" customHeight="1">
      <c r="A5" s="5">
        <v>3</v>
      </c>
      <c r="B5" s="11">
        <f>IF(C5="","",A5)</f>
        <v>3</v>
      </c>
      <c r="C5" s="12" t="str">
        <f>IF(F4="Правильный ответ","Вычислите общее количество звонков всех абонентов (одна строка = один звонок)","")</f>
        <v>Вычислите общее количество звонков всех абонентов (одна строка = один звонок)</v>
      </c>
      <c r="D5" s="2">
        <f>COUNTA('База данных'!A2:A624)</f>
        <v>623</v>
      </c>
      <c r="F5" s="11" t="str">
        <f t="shared" si="0"/>
        <v>Правильный ответ</v>
      </c>
      <c r="O5" s="5">
        <v>623</v>
      </c>
      <c r="P5" s="31"/>
    </row>
    <row r="6" spans="1:16" ht="45.75" customHeight="1">
      <c r="A6" s="5">
        <v>4</v>
      </c>
      <c r="B6" s="11">
        <f t="shared" ref="B6:B26" si="1">IF(C6="","",A6)</f>
        <v>4</v>
      </c>
      <c r="C6" s="12" t="str">
        <f>IF(F5="Правильный ответ","Вычислите общую продолжительность разговоров для всех абонентов в минутах, округлив значение до десятичного знака (математическое округление)","")</f>
        <v>Вычислите общую продолжительность разговоров для всех абонентов в минутах, округлив значение до десятичного знака (математическое округление)</v>
      </c>
      <c r="D6" s="2">
        <f>ROUND(D4/60, 1)</f>
        <v>131.4</v>
      </c>
      <c r="F6" s="11" t="str">
        <f t="shared" si="0"/>
        <v>Правильный ответ</v>
      </c>
      <c r="O6" s="5">
        <v>131.4</v>
      </c>
      <c r="P6" s="31"/>
    </row>
    <row r="7" spans="1:16" ht="45.75" customHeight="1">
      <c r="A7" s="5">
        <v>5</v>
      </c>
      <c r="B7" s="11">
        <f t="shared" si="1"/>
        <v>5</v>
      </c>
      <c r="C7" s="12" t="str">
        <f>IF(F6="Правильный ответ","Вычислите сумму начислений для звонков внутри сети","")</f>
        <v>Вычислите сумму начислений для звонков внутри сети</v>
      </c>
      <c r="D7" s="2">
        <f>SUMIF('База данных'!C1:C624, "Внутри сети", 'База данных'!D1:D624)</f>
        <v>3172.3900000000126</v>
      </c>
      <c r="F7" s="11" t="str">
        <f>IF(ISERROR(IF(ROUND(D7,2)=ROUND(O7,2),"Правильный ответ","Неправильный ответ")),"Неправильный ответ",IF(ROUND(D7,2)=ROUND(O7,2),"Правильный ответ","Неправильный ответ"))</f>
        <v>Правильный ответ</v>
      </c>
      <c r="O7" s="15">
        <v>3172.39</v>
      </c>
      <c r="P7" s="31"/>
    </row>
    <row r="8" spans="1:16" ht="45.75" customHeight="1">
      <c r="A8" s="5">
        <v>6</v>
      </c>
      <c r="B8" s="11">
        <f t="shared" si="1"/>
        <v>6</v>
      </c>
      <c r="C8" s="12" t="str">
        <f>IF(F7="Правильный ответ","Вычислите продолжительность разговоров на других операторов в секундах","")</f>
        <v>Вычислите продолжительность разговоров на других операторов в секундах</v>
      </c>
      <c r="D8" s="2">
        <f>SUMIF('База данных'!C1:C624, "На других операторов", 'База данных'!E1:E624)</f>
        <v>362</v>
      </c>
      <c r="F8" s="11" t="str">
        <f t="shared" si="0"/>
        <v>Правильный ответ</v>
      </c>
      <c r="O8" s="5">
        <v>362</v>
      </c>
      <c r="P8" s="31"/>
    </row>
    <row r="9" spans="1:16" ht="45.75" customHeight="1">
      <c r="A9" s="5">
        <v>7</v>
      </c>
      <c r="B9" s="11">
        <f t="shared" si="1"/>
        <v>7</v>
      </c>
      <c r="C9" s="12" t="str">
        <f>IF(F8="Правильный ответ","Вычислите общее количество звонков на тарифном плане 2 (одна строка = один звонок)","")</f>
        <v>Вычислите общее количество звонков на тарифном плане 2 (одна строка = один звонок)</v>
      </c>
      <c r="D9" s="2">
        <f>COUNTIF('База данных'!B1:B624, 2)</f>
        <v>66</v>
      </c>
      <c r="F9" s="11" t="str">
        <f t="shared" si="0"/>
        <v>Правильный ответ</v>
      </c>
      <c r="O9" s="5">
        <v>66</v>
      </c>
      <c r="P9" s="31"/>
    </row>
    <row r="10" spans="1:16" ht="45.75" customHeight="1">
      <c r="A10" s="5">
        <v>8</v>
      </c>
      <c r="B10" s="11">
        <f t="shared" si="1"/>
        <v>8</v>
      </c>
      <c r="C10" s="12" t="str">
        <f>IF(F9="Правильный ответ","Вычислите среднюю стоимость одной минуты разговора всех абонентов по всем направлениям и округлите ее до сотых (математическое округление)","")</f>
        <v>Вычислите среднюю стоимость одной минуты разговора всех абонентов по всем направлениям и округлите ее до сотых (математическое округление)</v>
      </c>
      <c r="D10" s="2">
        <f>ROUND(D3/(D4/60), 2)</f>
        <v>29.68</v>
      </c>
      <c r="F10" s="11" t="str">
        <f t="shared" si="0"/>
        <v>Правильный ответ</v>
      </c>
      <c r="O10" s="5">
        <v>29.68</v>
      </c>
      <c r="P10" s="31"/>
    </row>
    <row r="11" spans="1:16" ht="45.75" customHeight="1">
      <c r="A11" s="5">
        <v>9</v>
      </c>
      <c r="B11" s="11">
        <f t="shared" si="1"/>
        <v>9</v>
      </c>
      <c r="C11" s="12" t="str">
        <f>IF(F10="Правильный ответ","Вычислите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округление)","")</f>
        <v>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</v>
      </c>
      <c r="D11" s="2">
        <f xml:space="preserve"> ROUND(D4/D5,0)</f>
        <v>13</v>
      </c>
      <c r="F11" s="11" t="str">
        <f t="shared" si="0"/>
        <v>Правильный ответ</v>
      </c>
      <c r="O11" s="5">
        <v>13</v>
      </c>
      <c r="P11" s="31"/>
    </row>
    <row r="12" spans="1:16" ht="51" customHeight="1">
      <c r="A12" s="5">
        <v>10</v>
      </c>
      <c r="B12" s="11">
        <f t="shared" si="1"/>
        <v>10</v>
      </c>
      <c r="C12" s="12" t="str">
        <f>IF(F11="Правильный ответ","Вычислите сумму продолжительности разговоров в секундах на городской для тарифного плана 5","")</f>
        <v>Вычислите сумму продолжительности разговоров в секундах на городской для тарифного плана 5</v>
      </c>
      <c r="D12" s="2">
        <f xml:space="preserve"> SUMIFS('База данных'!E1:E624,'База данных'!B1:B624,5,'База данных'!C1:C624,"На городской")</f>
        <v>33</v>
      </c>
      <c r="F12" s="11" t="str">
        <f t="shared" si="0"/>
        <v>Правильный ответ</v>
      </c>
      <c r="O12" s="5">
        <v>33</v>
      </c>
      <c r="P12" s="31"/>
    </row>
    <row r="13" spans="1:16" ht="51" customHeight="1">
      <c r="A13" s="5">
        <v>11</v>
      </c>
      <c r="B13" s="11">
        <f t="shared" si="1"/>
        <v>11</v>
      </c>
      <c r="C13" s="12" t="str">
        <f>IF(F12="Правильный ответ","Вычислите количество звонков на межнар для тарифного плана 1","")</f>
        <v>Вычислите количество звонков на межнар для тарифного плана 1</v>
      </c>
      <c r="D13" s="2">
        <f xml:space="preserve"> SUMIFS('База данных'!B1:B624,'База данных'!B1:B624,1,'База данных'!C1:C624,"На межнар")</f>
        <v>6</v>
      </c>
      <c r="F13" s="11" t="str">
        <f t="shared" si="0"/>
        <v>Правильный ответ</v>
      </c>
      <c r="O13" s="5">
        <v>6</v>
      </c>
      <c r="P13" s="31"/>
    </row>
    <row r="14" spans="1:16" ht="51" customHeight="1">
      <c r="A14" s="5">
        <v>12</v>
      </c>
      <c r="B14" s="11">
        <f t="shared" si="1"/>
        <v>12</v>
      </c>
      <c r="C14" s="12" t="str">
        <f>IF(F13="Правильный ответ","Вычислите долю продолжительности внутрисетевых звонков от всех звонков. Округлите до сотых в процентах","")</f>
        <v>Вычислите долю продолжительности внутрисетевых звонков от всех звонков. Округлите до сотых в процентах</v>
      </c>
      <c r="D14" s="3">
        <f>ROUND(SUMIF('База данных'!C1:C624, "Внутри сети", 'База данных'!E1:E624) / D4, 4)</f>
        <v>0.91549999999999998</v>
      </c>
      <c r="F14" s="11" t="str">
        <f t="shared" si="0"/>
        <v>Правильный ответ</v>
      </c>
      <c r="O14" s="16">
        <v>0.91549999999999998</v>
      </c>
      <c r="P14" s="31"/>
    </row>
    <row r="15" spans="1:16" ht="51" customHeight="1">
      <c r="A15" s="5">
        <v>13</v>
      </c>
      <c r="B15" s="11">
        <f t="shared" si="1"/>
        <v>13</v>
      </c>
      <c r="C15" s="12" t="str">
        <f>IF(F14="Правильный ответ","Вычислите долю начислений тарифного плана 1 от общих начислений по всем тарифам. Округлите до сотых в процентах","")</f>
        <v>Вычислите долю начислений тарифного плана 1 от общих начислений по всем тарифам. Округлите до сотых в процентах</v>
      </c>
      <c r="D15" s="3">
        <f>ROUND(SUMIF('База данных'!B1:B624,1,'База данных'!D1:D624)/'Лист ответов'!D3,4)</f>
        <v>0.36420000000000002</v>
      </c>
      <c r="F15" s="11" t="str">
        <f t="shared" si="0"/>
        <v>Правильный ответ</v>
      </c>
      <c r="O15" s="17">
        <v>0.36420000000000002</v>
      </c>
      <c r="P15" s="31"/>
    </row>
    <row r="16" spans="1:16" ht="51" customHeight="1">
      <c r="A16" s="5">
        <v>14</v>
      </c>
      <c r="B16" s="11">
        <f t="shared" si="1"/>
        <v>14</v>
      </c>
      <c r="C16" s="12" t="str">
        <f>IF(F15="Правильный ответ","Вычислите общее количество уникальных абонентов","")</f>
        <v>Вычислите общее количество уникальных абонентов</v>
      </c>
      <c r="D16" s="35">
        <f>SUM('База данных'!F1:F624)</f>
        <v>292</v>
      </c>
      <c r="F16" s="11" t="str">
        <f t="shared" si="0"/>
        <v>Правильный ответ</v>
      </c>
      <c r="H16" s="29"/>
      <c r="O16" s="32">
        <v>292</v>
      </c>
      <c r="P16" s="31"/>
    </row>
    <row r="17" spans="1:16" ht="52.5" customHeight="1">
      <c r="A17" s="5">
        <v>15</v>
      </c>
      <c r="B17" s="11">
        <f t="shared" si="1"/>
        <v>15</v>
      </c>
      <c r="C17" s="12" t="str">
        <f>IF(F16="Правильный ответ","Укажите общее количество уникальных пользователей внутрисетевых звонков","")</f>
        <v>Укажите общее количество уникальных пользователей внутрисетевых звонков</v>
      </c>
      <c r="D17" s="34">
        <f>SUM('База данных'!G1:G624)</f>
        <v>290</v>
      </c>
      <c r="F17" s="11" t="str">
        <f t="shared" si="0"/>
        <v>Правильный ответ</v>
      </c>
      <c r="O17" s="5">
        <v>290</v>
      </c>
      <c r="P17" s="31"/>
    </row>
    <row r="18" spans="1:16" ht="48" customHeight="1">
      <c r="A18" s="5">
        <v>16</v>
      </c>
      <c r="B18" s="11">
        <f t="shared" si="1"/>
        <v>16</v>
      </c>
      <c r="C18" s="12" t="str">
        <f>IF(F17="Правильный ответ","Укажите общее количество уникальных абонентов на тарифном плане 6","")</f>
        <v>Укажите общее количество уникальных абонентов на тарифном плане 6</v>
      </c>
      <c r="D18" s="2">
        <f>SUM('База данных'!H1:H624)</f>
        <v>63</v>
      </c>
      <c r="F18" s="11" t="str">
        <f t="shared" si="0"/>
        <v>Правильный ответ</v>
      </c>
      <c r="O18" s="5">
        <v>63</v>
      </c>
      <c r="P18" s="31"/>
    </row>
    <row r="19" spans="1:16" ht="45.75" customHeight="1">
      <c r="A19" s="5">
        <v>17</v>
      </c>
      <c r="B19" s="11">
        <f t="shared" si="1"/>
        <v>17</v>
      </c>
      <c r="C19" s="12" t="str">
        <f>IF(F18="Правильный ответ","Вычислите долю уникальных абонентов тарифного плана 2 от общего количества уникальных абонентов по всем тарифам. Округлите до сотых","")</f>
        <v>Вычислите долю уникальных абонентов тарифного плана 2 от общего количества уникальных абонентов по всем тарифам. Округлите до сотых</v>
      </c>
      <c r="D19" s="36">
        <f>ROUND(SUM('База данных'!I1:I624) / D16, 4)</f>
        <v>0.1096</v>
      </c>
      <c r="F19" s="11" t="str">
        <f>IF(ISERROR(IF(D19=D19,"Правильный ответ","Неправильный ответ")),"Неправильный ответ",IF(D19=O19,"Правильный ответ","Неправильный ответ"))</f>
        <v>Правильный ответ</v>
      </c>
      <c r="O19" s="5">
        <v>0.1096</v>
      </c>
      <c r="P19" s="31"/>
    </row>
    <row r="20" spans="1:16" ht="45.75" customHeight="1">
      <c r="A20" s="5">
        <v>18</v>
      </c>
      <c r="B20" s="11">
        <f t="shared" si="1"/>
        <v>18</v>
      </c>
      <c r="C20" s="12" t="str">
        <f>IF(F19="Правильный ответ","Рассчитайте средние начисления в тенге на одного уникального абонента, округлите значение до сотых","")</f>
        <v>Рассчитайте средние начисления в тенге на одного уникального абонента, округлите значение до сотых</v>
      </c>
      <c r="D20" s="2">
        <f>ROUND(D3/D16, 2)</f>
        <v>13.35</v>
      </c>
      <c r="F20" s="11" t="str">
        <f t="shared" si="0"/>
        <v>Правильный ответ</v>
      </c>
      <c r="O20" s="15">
        <v>13.35</v>
      </c>
      <c r="P20" s="31"/>
    </row>
    <row r="21" spans="1:16" ht="45.75" customHeight="1">
      <c r="A21" s="5">
        <v>19</v>
      </c>
      <c r="B21" s="11">
        <f t="shared" si="1"/>
        <v>19</v>
      </c>
      <c r="C21" s="12" t="str">
        <f>IF(F20="Правильный ответ","Рассчитайте среднюю продолжительность разговоров одного уникального абонента в минутах, округлите значение до десятых","")</f>
        <v>Рассчитайте среднюю продолжительность разговоров одного уникального абонента в минутах, округлите значение до десятых</v>
      </c>
      <c r="D21" s="30">
        <f>ROUND((D4/60)/D16, 1)</f>
        <v>0.4</v>
      </c>
      <c r="F21" s="11" t="str">
        <f t="shared" si="0"/>
        <v>Правильный ответ</v>
      </c>
      <c r="O21" s="33">
        <v>0.4</v>
      </c>
      <c r="P21" s="31"/>
    </row>
    <row r="22" spans="1:16" ht="45.75" customHeight="1">
      <c r="A22" s="5">
        <v>20</v>
      </c>
      <c r="B22" s="11">
        <f t="shared" si="1"/>
        <v>20</v>
      </c>
      <c r="C22" s="12" t="str">
        <f>IF(F21="Правильный ответ","Укажите продолжительность разговоров на тарифном плане, на котором сидит абонент 77010000055","")</f>
        <v>Укажите продолжительность разговоров на тарифном плане, на котором сидит абонент 77010000055</v>
      </c>
      <c r="D22" s="30">
        <f>SUMIF('База данных'!B1:B624, 1, 'База данных'!E1:E624)</f>
        <v>2705</v>
      </c>
      <c r="F22" s="11" t="str">
        <f t="shared" si="0"/>
        <v>Правильный ответ</v>
      </c>
      <c r="O22" s="5">
        <v>2705</v>
      </c>
      <c r="P22" s="31"/>
    </row>
    <row r="23" spans="1:16" ht="46.5" customHeight="1">
      <c r="A23" s="5">
        <v>21</v>
      </c>
      <c r="B23" s="11">
        <f t="shared" si="1"/>
        <v>21</v>
      </c>
      <c r="C23" s="12" t="str">
        <f>IF(F22="Правильный ответ","Укажите абонента, у которого наибольшее начисление","")</f>
        <v>Укажите абонента, у которого наибольшее начисление</v>
      </c>
      <c r="D23" s="2">
        <f>INDEX('База данных'!A1:A624, MATCH(MAX('База данных'!D1:D624), 'База данных'!D1:D624, 0))</f>
        <v>77010000109</v>
      </c>
      <c r="F23" s="11" t="str">
        <f t="shared" si="0"/>
        <v>Правильный ответ</v>
      </c>
      <c r="O23" s="5">
        <v>77010000109</v>
      </c>
      <c r="P23" s="31"/>
    </row>
    <row r="24" spans="1:16" ht="46.5" customHeight="1">
      <c r="A24" s="5">
        <v>22</v>
      </c>
      <c r="B24" s="11">
        <f t="shared" si="1"/>
        <v>22</v>
      </c>
      <c r="C24" s="12" t="str">
        <f>IF(F23="Правильный ответ","Укажите абонента, у которого наибольшая продолжительность разговоров на тарифном плане 5","")</f>
        <v>Укажите абонента, у которого наибольшая продолжительность разговоров на тарифном плане 5</v>
      </c>
      <c r="D24" s="2">
        <v>77010000211</v>
      </c>
      <c r="F24" s="11" t="str">
        <f t="shared" si="0"/>
        <v>Правильный ответ</v>
      </c>
      <c r="O24" s="5">
        <v>77010000211</v>
      </c>
      <c r="P24" s="31"/>
    </row>
    <row r="25" spans="1:16" ht="48.75" customHeight="1">
      <c r="A25" s="5">
        <v>23</v>
      </c>
      <c r="B25" s="11">
        <f t="shared" si="1"/>
        <v>23</v>
      </c>
      <c r="C25" s="12" t="str">
        <f>IF(F24="Правильный ответ","Укажите абонента, который на 7 месте по общей сумме начислений","")</f>
        <v>Укажите абонента, который на 7 месте по общей сумме начислений</v>
      </c>
      <c r="D25" s="2">
        <v>77010000133</v>
      </c>
      <c r="F25" s="11" t="str">
        <f t="shared" si="0"/>
        <v>Правильный ответ</v>
      </c>
      <c r="O25" s="5">
        <v>77010000133</v>
      </c>
      <c r="P25" s="31"/>
    </row>
    <row r="26" spans="1:16" ht="55.5" customHeight="1">
      <c r="A26" s="5">
        <v>24</v>
      </c>
      <c r="B26" s="11">
        <f t="shared" si="1"/>
        <v>24</v>
      </c>
      <c r="C26" s="12" t="str">
        <f>IF(F25="Правильный ответ","Какое направление не используется абонентами тарифного плана 6 (ответов может быть несколько, вписывать через запятую)","")</f>
        <v>Какое направление не используется абонентами тарифного плана 6 (ответов может быть несколько, вписывать через запятую)</v>
      </c>
      <c r="D26" s="2" t="s">
        <v>26</v>
      </c>
      <c r="F26" s="11" t="str">
        <f>IF(ISERROR(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ответ")),"Неправильный ответ",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</f>
        <v>Правильный ответ</v>
      </c>
      <c r="O26" s="5" t="s">
        <v>13</v>
      </c>
      <c r="P26" s="5" t="s">
        <v>12</v>
      </c>
    </row>
    <row r="27" spans="1:16" ht="55.5" customHeight="1">
      <c r="C27" s="13" t="str">
        <f>IF(F26="Правильный ответ","Тест пройден. Поздравляем!","")</f>
        <v>Тест пройден. Поздравляем!</v>
      </c>
    </row>
  </sheetData>
  <sheetProtection password="8CB1" sheet="1"/>
  <phoneticPr fontId="5" type="noConversion"/>
  <conditionalFormatting sqref="B4:B26">
    <cfRule type="expression" dxfId="13" priority="12" stopIfTrue="1">
      <formula>F3="Неправильный ответ"</formula>
    </cfRule>
  </conditionalFormatting>
  <conditionalFormatting sqref="B16">
    <cfRule type="expression" dxfId="12" priority="20" stopIfTrue="1">
      <formula>#REF!="Неправильный ответ"</formula>
    </cfRule>
  </conditionalFormatting>
  <conditionalFormatting sqref="C4:C26">
    <cfRule type="expression" dxfId="11" priority="11" stopIfTrue="1">
      <formula>F3="Неправильный ответ"</formula>
    </cfRule>
  </conditionalFormatting>
  <conditionalFormatting sqref="C15:C16">
    <cfRule type="expression" dxfId="10" priority="21" stopIfTrue="1">
      <formula>#REF!="Неправильный ответ"</formula>
    </cfRule>
  </conditionalFormatting>
  <conditionalFormatting sqref="D4:D26">
    <cfRule type="expression" dxfId="9" priority="1" stopIfTrue="1">
      <formula>F3="Неправильный ответ"</formula>
    </cfRule>
  </conditionalFormatting>
  <conditionalFormatting sqref="D15">
    <cfRule type="expression" dxfId="8" priority="22" stopIfTrue="1">
      <formula>#REF!="Неправильный ответ"</formula>
    </cfRule>
  </conditionalFormatting>
  <conditionalFormatting sqref="F3">
    <cfRule type="cellIs" dxfId="7" priority="9" stopIfTrue="1" operator="equal">
      <formula>"Правильный ответ"</formula>
    </cfRule>
  </conditionalFormatting>
  <conditionalFormatting sqref="F4:F26">
    <cfRule type="cellIs" dxfId="6" priority="15" stopIfTrue="1" operator="equal">
      <formula>"Правильный ответ"</formula>
    </cfRule>
    <cfRule type="expression" dxfId="5" priority="16" stopIfTrue="1">
      <formula>F3="Неправильный ответ"</formula>
    </cfRule>
    <cfRule type="cellIs" dxfId="4" priority="18" stopIfTrue="1" operator="equal">
      <formula>"Правильный ответ"</formula>
    </cfRule>
  </conditionalFormatting>
  <conditionalFormatting sqref="F15:F16">
    <cfRule type="cellIs" dxfId="3" priority="24" stopIfTrue="1" operator="equal">
      <formula>"Правильный ответ"</formula>
    </cfRule>
    <cfRule type="expression" dxfId="2" priority="25" stopIfTrue="1">
      <formula>#REF!="Неправильный ответ"</formula>
    </cfRule>
    <cfRule type="cellIs" dxfId="1" priority="27" stopIfTrue="1" operator="equal">
      <formula>"Правильный ответ"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L624"/>
  <sheetViews>
    <sheetView zoomScale="85" zoomScaleNormal="85" workbookViewId="0">
      <selection activeCell="I2" sqref="I2"/>
    </sheetView>
  </sheetViews>
  <sheetFormatPr defaultRowHeight="14.4"/>
  <cols>
    <col min="1" max="1" width="20.5546875" style="45" customWidth="1"/>
    <col min="2" max="2" width="16.6640625" style="26" customWidth="1"/>
    <col min="3" max="3" width="32.5546875" style="26" customWidth="1"/>
    <col min="4" max="4" width="18.33203125" style="26" customWidth="1"/>
    <col min="5" max="5" width="24" style="35" customWidth="1"/>
    <col min="7" max="9" width="19.88671875" customWidth="1"/>
    <col min="11" max="11" width="24.33203125" bestFit="1" customWidth="1"/>
    <col min="12" max="12" width="54.88671875" bestFit="1" customWidth="1"/>
    <col min="13" max="13" width="7.5546875" bestFit="1" customWidth="1"/>
    <col min="14" max="14" width="13.6640625" bestFit="1" customWidth="1"/>
    <col min="15" max="15" width="21.77734375" bestFit="1" customWidth="1"/>
    <col min="16" max="16" width="11.21875" bestFit="1" customWidth="1"/>
    <col min="17" max="17" width="12" bestFit="1" customWidth="1"/>
  </cols>
  <sheetData>
    <row r="1" spans="1:12" s="1" customFormat="1" ht="28.8">
      <c r="A1" s="43" t="s">
        <v>9</v>
      </c>
      <c r="B1" s="19" t="s">
        <v>8</v>
      </c>
      <c r="C1" s="18" t="s">
        <v>7</v>
      </c>
      <c r="D1" s="19" t="s">
        <v>5</v>
      </c>
      <c r="E1" s="37" t="s">
        <v>6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12">
      <c r="A2" s="20">
        <v>77010000068</v>
      </c>
      <c r="B2" s="20">
        <v>1</v>
      </c>
      <c r="C2" s="21" t="s">
        <v>0</v>
      </c>
      <c r="D2" s="20">
        <v>0</v>
      </c>
      <c r="E2" s="38">
        <v>0</v>
      </c>
      <c r="F2">
        <f>IF(COUNTIF($A$2:A2, A2)=1, 1, 0)</f>
        <v>1</v>
      </c>
      <c r="G2">
        <f>IF(AND(C2="Внутри сети", COUNTIFS($A$2:A2, A2, $C$2:C2, "Внутри сети")=1), 1, 0)</f>
        <v>1</v>
      </c>
      <c r="H2">
        <f>IF(AND(B2=6, COUNTIFS($A$2:A2, A2, $B$2:B2, 6)=1), 1, 0)</f>
        <v>0</v>
      </c>
      <c r="I2">
        <f>IF(AND(B2=2, COUNTIFS($A$2:A2, A2, $B$2:B2, 2)=1), 1, 0)</f>
        <v>0</v>
      </c>
      <c r="J2" t="s">
        <v>17</v>
      </c>
    </row>
    <row r="3" spans="1:12">
      <c r="A3" s="22">
        <v>77010000001</v>
      </c>
      <c r="B3" s="22">
        <v>1</v>
      </c>
      <c r="C3" s="23" t="s">
        <v>0</v>
      </c>
      <c r="D3" s="22">
        <v>0.43</v>
      </c>
      <c r="E3" s="39">
        <v>1</v>
      </c>
      <c r="F3">
        <f>IF(COUNTIF($A$2:A3, A3)=1, 1, 0)</f>
        <v>1</v>
      </c>
      <c r="G3">
        <f>IF(AND(C3="Внутри сети", COUNTIFS($A$2:A3, A3, $C$2:C3, "Внутри сети")=1), 1, 0)</f>
        <v>1</v>
      </c>
      <c r="H3">
        <f>IF(AND(B3=6, COUNTIFS($A$2:A3, A3, $B$2:B3, 6)=1), 1, 0)</f>
        <v>0</v>
      </c>
      <c r="I3">
        <f>IF(AND(B3=2, COUNTIFS($A$2:A3, A3, $B$2:B3, 2)=1), 1, 0)</f>
        <v>0</v>
      </c>
      <c r="J3" s="42" t="s">
        <v>18</v>
      </c>
    </row>
    <row r="4" spans="1:12">
      <c r="A4" s="22">
        <v>77010000003</v>
      </c>
      <c r="B4" s="22">
        <v>1</v>
      </c>
      <c r="C4" s="23" t="s">
        <v>0</v>
      </c>
      <c r="D4" s="22">
        <v>0.43</v>
      </c>
      <c r="E4" s="39">
        <v>1</v>
      </c>
      <c r="F4">
        <f>IF(COUNTIF($A$2:A4, A4)=1, 1, 0)</f>
        <v>1</v>
      </c>
      <c r="G4">
        <f>IF(AND(C4="Внутри сети", COUNTIFS($A$2:A4, A4, $C$2:C4, "Внутри сети")=1), 1, 0)</f>
        <v>1</v>
      </c>
      <c r="H4">
        <f>IF(AND(B4=6, COUNTIFS($A$2:A4, A4, $B$2:B4, 6)=1), 1, 0)</f>
        <v>0</v>
      </c>
      <c r="I4">
        <f>IF(AND(B4=2, COUNTIFS($A$2:A4, A4, $B$2:B4, 2)=1), 1, 0)</f>
        <v>0</v>
      </c>
    </row>
    <row r="5" spans="1:12">
      <c r="A5" s="22">
        <v>77010000004</v>
      </c>
      <c r="B5" s="22">
        <v>1</v>
      </c>
      <c r="C5" s="23" t="s">
        <v>0</v>
      </c>
      <c r="D5" s="22">
        <v>0.43</v>
      </c>
      <c r="E5" s="39">
        <v>1</v>
      </c>
      <c r="F5">
        <f>IF(COUNTIF($A$2:A5, A5)=1, 1, 0)</f>
        <v>1</v>
      </c>
      <c r="G5">
        <f>IF(AND(C5="Внутри сети", COUNTIFS($A$2:A5, A5, $C$2:C5, "Внутри сети")=1), 1, 0)</f>
        <v>1</v>
      </c>
      <c r="H5">
        <f>IF(AND(B5=6, COUNTIFS($A$2:A5, A5, $B$2:B5, 6)=1), 1, 0)</f>
        <v>0</v>
      </c>
      <c r="I5">
        <f>IF(AND(B5=2, COUNTIFS($A$2:A5, A5, $B$2:B5, 2)=1), 1, 0)</f>
        <v>0</v>
      </c>
      <c r="K5" s="46" t="s">
        <v>23</v>
      </c>
      <c r="L5" t="s">
        <v>25</v>
      </c>
    </row>
    <row r="6" spans="1:12">
      <c r="A6" s="22">
        <v>77010000008</v>
      </c>
      <c r="B6" s="22">
        <v>1</v>
      </c>
      <c r="C6" s="23" t="s">
        <v>0</v>
      </c>
      <c r="D6" s="22">
        <v>0.43</v>
      </c>
      <c r="E6" s="39">
        <v>1</v>
      </c>
      <c r="F6">
        <f>IF(COUNTIF($A$2:A6, A6)=1, 1, 0)</f>
        <v>1</v>
      </c>
      <c r="G6">
        <f>IF(AND(C6="Внутри сети", COUNTIFS($A$2:A6, A6, $C$2:C6, "Внутри сети")=1), 1, 0)</f>
        <v>1</v>
      </c>
      <c r="H6">
        <f>IF(AND(B6=6, COUNTIFS($A$2:A6, A6, $B$2:B6, 6)=1), 1, 0)</f>
        <v>0</v>
      </c>
      <c r="I6">
        <f>IF(AND(B6=2, COUNTIFS($A$2:A6, A6, $B$2:B6, 2)=1), 1, 0)</f>
        <v>0</v>
      </c>
      <c r="K6" s="47">
        <v>1</v>
      </c>
      <c r="L6" s="48">
        <v>2705</v>
      </c>
    </row>
    <row r="7" spans="1:12">
      <c r="A7" s="22">
        <v>77010000052</v>
      </c>
      <c r="B7" s="22">
        <v>1</v>
      </c>
      <c r="C7" s="23" t="s">
        <v>0</v>
      </c>
      <c r="D7" s="22">
        <v>0.43</v>
      </c>
      <c r="E7" s="39">
        <v>1</v>
      </c>
      <c r="F7">
        <f>IF(COUNTIF($A$2:A7, A7)=1, 1, 0)</f>
        <v>1</v>
      </c>
      <c r="G7">
        <f>IF(AND(C7="Внутри сети", COUNTIFS($A$2:A7, A7, $C$2:C7, "Внутри сети")=1), 1, 0)</f>
        <v>1</v>
      </c>
      <c r="H7">
        <f>IF(AND(B7=6, COUNTIFS($A$2:A7, A7, $B$2:B7, 6)=1), 1, 0)</f>
        <v>0</v>
      </c>
      <c r="I7">
        <f>IF(AND(B7=2, COUNTIFS($A$2:A7, A7, $B$2:B7, 2)=1), 1, 0)</f>
        <v>0</v>
      </c>
      <c r="K7" s="47">
        <v>2</v>
      </c>
      <c r="L7" s="48">
        <v>1758</v>
      </c>
    </row>
    <row r="8" spans="1:12">
      <c r="A8" s="22">
        <v>77010000060</v>
      </c>
      <c r="B8" s="22">
        <v>1</v>
      </c>
      <c r="C8" s="23" t="s">
        <v>0</v>
      </c>
      <c r="D8" s="22">
        <v>0.43</v>
      </c>
      <c r="E8" s="39">
        <v>1</v>
      </c>
      <c r="F8">
        <f>IF(COUNTIF($A$2:A8, A8)=1, 1, 0)</f>
        <v>1</v>
      </c>
      <c r="G8">
        <f>IF(AND(C8="Внутри сети", COUNTIFS($A$2:A8, A8, $C$2:C8, "Внутри сети")=1), 1, 0)</f>
        <v>1</v>
      </c>
      <c r="H8">
        <f>IF(AND(B8=6, COUNTIFS($A$2:A8, A8, $B$2:B8, 6)=1), 1, 0)</f>
        <v>0</v>
      </c>
      <c r="I8">
        <f>IF(AND(B8=2, COUNTIFS($A$2:A8, A8, $B$2:B8, 2)=1), 1, 0)</f>
        <v>0</v>
      </c>
      <c r="K8" s="47">
        <v>3</v>
      </c>
      <c r="L8" s="48">
        <v>712</v>
      </c>
    </row>
    <row r="9" spans="1:12">
      <c r="A9" s="22">
        <v>77010000046</v>
      </c>
      <c r="B9" s="22">
        <v>1</v>
      </c>
      <c r="C9" s="23" t="s">
        <v>0</v>
      </c>
      <c r="D9" s="22">
        <v>0.43</v>
      </c>
      <c r="E9" s="39">
        <v>1</v>
      </c>
      <c r="F9">
        <f>IF(COUNTIF($A$2:A9, A9)=1, 1, 0)</f>
        <v>1</v>
      </c>
      <c r="G9">
        <f>IF(AND(C9="Внутри сети", COUNTIFS($A$2:A9, A9, $C$2:C9, "Внутри сети")=1), 1, 0)</f>
        <v>1</v>
      </c>
      <c r="H9">
        <f>IF(AND(B9=6, COUNTIFS($A$2:A9, A9, $B$2:B9, 6)=1), 1, 0)</f>
        <v>0</v>
      </c>
      <c r="I9">
        <f>IF(AND(B9=2, COUNTIFS($A$2:A9, A9, $B$2:B9, 2)=1), 1, 0)</f>
        <v>0</v>
      </c>
      <c r="K9" s="47">
        <v>4</v>
      </c>
      <c r="L9" s="48">
        <v>303</v>
      </c>
    </row>
    <row r="10" spans="1:12">
      <c r="A10" s="22">
        <v>77010000054</v>
      </c>
      <c r="B10" s="22">
        <v>1</v>
      </c>
      <c r="C10" s="23" t="s">
        <v>0</v>
      </c>
      <c r="D10" s="22">
        <v>0.43</v>
      </c>
      <c r="E10" s="39">
        <v>1</v>
      </c>
      <c r="F10">
        <f>IF(COUNTIF($A$2:A10, A10)=1, 1, 0)</f>
        <v>1</v>
      </c>
      <c r="G10">
        <f>IF(AND(C10="Внутри сети", COUNTIFS($A$2:A10, A10, $C$2:C10, "Внутри сети")=1), 1, 0)</f>
        <v>1</v>
      </c>
      <c r="H10">
        <f>IF(AND(B10=6, COUNTIFS($A$2:A10, A10, $B$2:B10, 6)=1), 1, 0)</f>
        <v>0</v>
      </c>
      <c r="I10">
        <f>IF(AND(B10=2, COUNTIFS($A$2:A10, A10, $B$2:B10, 2)=1), 1, 0)</f>
        <v>0</v>
      </c>
      <c r="K10" s="47">
        <v>5</v>
      </c>
      <c r="L10" s="48">
        <v>1485</v>
      </c>
    </row>
    <row r="11" spans="1:12">
      <c r="A11" s="22">
        <v>77010000062</v>
      </c>
      <c r="B11" s="22">
        <v>1</v>
      </c>
      <c r="C11" s="23" t="s">
        <v>0</v>
      </c>
      <c r="D11" s="22">
        <v>0.43</v>
      </c>
      <c r="E11" s="39">
        <v>1</v>
      </c>
      <c r="F11">
        <f>IF(COUNTIF($A$2:A11, A11)=1, 1, 0)</f>
        <v>1</v>
      </c>
      <c r="G11">
        <f>IF(AND(C11="Внутри сети", COUNTIFS($A$2:A11, A11, $C$2:C11, "Внутри сети")=1), 1, 0)</f>
        <v>1</v>
      </c>
      <c r="H11">
        <f>IF(AND(B11=6, COUNTIFS($A$2:A11, A11, $B$2:B11, 6)=1), 1, 0)</f>
        <v>0</v>
      </c>
      <c r="I11">
        <f>IF(AND(B11=2, COUNTIFS($A$2:A11, A11, $B$2:B11, 2)=1), 1, 0)</f>
        <v>0</v>
      </c>
      <c r="K11" s="47">
        <v>6</v>
      </c>
      <c r="L11" s="48">
        <v>920</v>
      </c>
    </row>
    <row r="12" spans="1:12">
      <c r="A12" s="22">
        <v>77010000065</v>
      </c>
      <c r="B12" s="22">
        <v>1</v>
      </c>
      <c r="C12" s="23" t="s">
        <v>0</v>
      </c>
      <c r="D12" s="22">
        <v>0.43</v>
      </c>
      <c r="E12" s="39">
        <v>1</v>
      </c>
      <c r="F12">
        <f>IF(COUNTIF($A$2:A12, A12)=1, 1, 0)</f>
        <v>1</v>
      </c>
      <c r="G12">
        <f>IF(AND(C12="Внутри сети", COUNTIFS($A$2:A12, A12, $C$2:C12, "Внутри сети")=1), 1, 0)</f>
        <v>1</v>
      </c>
      <c r="H12">
        <f>IF(AND(B12=6, COUNTIFS($A$2:A12, A12, $B$2:B12, 6)=1), 1, 0)</f>
        <v>0</v>
      </c>
      <c r="I12">
        <f>IF(AND(B12=2, COUNTIFS($A$2:A12, A12, $B$2:B12, 2)=1), 1, 0)</f>
        <v>0</v>
      </c>
      <c r="K12" s="49" t="s">
        <v>0</v>
      </c>
      <c r="L12" s="48">
        <v>869</v>
      </c>
    </row>
    <row r="13" spans="1:12">
      <c r="A13" s="22">
        <v>77010000066</v>
      </c>
      <c r="B13" s="22">
        <v>1</v>
      </c>
      <c r="C13" s="23" t="s">
        <v>0</v>
      </c>
      <c r="D13" s="22">
        <v>0.43</v>
      </c>
      <c r="E13" s="39">
        <v>1</v>
      </c>
      <c r="F13">
        <f>IF(COUNTIF($A$2:A13, A13)=1, 1, 0)</f>
        <v>1</v>
      </c>
      <c r="G13">
        <f>IF(AND(C13="Внутри сети", COUNTIFS($A$2:A13, A13, $C$2:C13, "Внутри сети")=1), 1, 0)</f>
        <v>1</v>
      </c>
      <c r="H13">
        <f>IF(AND(B13=6, COUNTIFS($A$2:A13, A13, $B$2:B13, 6)=1), 1, 0)</f>
        <v>0</v>
      </c>
      <c r="I13">
        <f>IF(AND(B13=2, COUNTIFS($A$2:A13, A13, $B$2:B13, 2)=1), 1, 0)</f>
        <v>0</v>
      </c>
      <c r="K13" s="49" t="s">
        <v>1</v>
      </c>
      <c r="L13" s="48">
        <v>38</v>
      </c>
    </row>
    <row r="14" spans="1:12">
      <c r="A14" s="22">
        <v>77010000063</v>
      </c>
      <c r="B14" s="22">
        <v>1</v>
      </c>
      <c r="C14" s="23" t="s">
        <v>1</v>
      </c>
      <c r="D14" s="22">
        <v>7.43</v>
      </c>
      <c r="E14" s="39">
        <v>1</v>
      </c>
      <c r="F14">
        <f>IF(COUNTIF($A$2:A14, A14)=1, 1, 0)</f>
        <v>1</v>
      </c>
      <c r="G14">
        <f>IF(AND(C14="Внутри сети", COUNTIFS($A$2:A14, A14, $C$2:C14, "Внутри сети")=1), 1, 0)</f>
        <v>0</v>
      </c>
      <c r="H14">
        <f>IF(AND(B14=6, COUNTIFS($A$2:A14, A14, $B$2:B14, 6)=1), 1, 0)</f>
        <v>0</v>
      </c>
      <c r="I14">
        <f>IF(AND(B14=2, COUNTIFS($A$2:A14, A14, $B$2:B14, 2)=1), 1, 0)</f>
        <v>0</v>
      </c>
      <c r="K14" s="49" t="s">
        <v>3</v>
      </c>
      <c r="L14" s="48">
        <v>13</v>
      </c>
    </row>
    <row r="15" spans="1:12">
      <c r="A15" s="22">
        <v>77010000066</v>
      </c>
      <c r="B15" s="22">
        <v>1</v>
      </c>
      <c r="C15" s="23" t="s">
        <v>0</v>
      </c>
      <c r="D15" s="22">
        <v>0.43</v>
      </c>
      <c r="E15" s="39">
        <v>1</v>
      </c>
      <c r="F15">
        <f>IF(COUNTIF($A$2:A15, A15)=1, 1, 0)</f>
        <v>0</v>
      </c>
      <c r="G15">
        <f>IF(AND(C15="Внутри сети", COUNTIFS($A$2:A15, A15, $C$2:C15, "Внутри сети")=1), 1, 0)</f>
        <v>0</v>
      </c>
      <c r="H15">
        <f>IF(AND(B15=6, COUNTIFS($A$2:A15, A15, $B$2:B15, 6)=1), 1, 0)</f>
        <v>0</v>
      </c>
      <c r="I15">
        <f>IF(AND(B15=2, COUNTIFS($A$2:A15, A15, $B$2:B15, 2)=1), 1, 0)</f>
        <v>0</v>
      </c>
      <c r="K15" s="47" t="s">
        <v>24</v>
      </c>
      <c r="L15" s="48">
        <v>7883</v>
      </c>
    </row>
    <row r="16" spans="1:12">
      <c r="A16" s="22">
        <v>77010000045</v>
      </c>
      <c r="B16" s="22">
        <v>1</v>
      </c>
      <c r="C16" s="23" t="s">
        <v>0</v>
      </c>
      <c r="D16" s="22">
        <v>0.43</v>
      </c>
      <c r="E16" s="39">
        <v>1</v>
      </c>
      <c r="F16">
        <f>IF(COUNTIF($A$2:A16, A16)=1, 1, 0)</f>
        <v>1</v>
      </c>
      <c r="G16">
        <f>IF(AND(C16="Внутри сети", COUNTIFS($A$2:A16, A16, $C$2:C16, "Внутри сети")=1), 1, 0)</f>
        <v>1</v>
      </c>
      <c r="H16">
        <f>IF(AND(B16=6, COUNTIFS($A$2:A16, A16, $B$2:B16, 6)=1), 1, 0)</f>
        <v>0</v>
      </c>
      <c r="I16">
        <f>IF(AND(B16=2, COUNTIFS($A$2:A16, A16, $B$2:B16, 2)=1), 1, 0)</f>
        <v>0</v>
      </c>
    </row>
    <row r="17" spans="1:9">
      <c r="A17" s="22">
        <v>77010000082</v>
      </c>
      <c r="B17" s="22">
        <v>1</v>
      </c>
      <c r="C17" s="23" t="s">
        <v>0</v>
      </c>
      <c r="D17" s="22">
        <v>0.43</v>
      </c>
      <c r="E17" s="39">
        <v>1</v>
      </c>
      <c r="F17">
        <f>IF(COUNTIF($A$2:A17, A17)=1, 1, 0)</f>
        <v>1</v>
      </c>
      <c r="G17">
        <f>IF(AND(C17="Внутри сети", COUNTIFS($A$2:A17, A17, $C$2:C17, "Внутри сети")=1), 1, 0)</f>
        <v>1</v>
      </c>
      <c r="H17">
        <f>IF(AND(B17=6, COUNTIFS($A$2:A17, A17, $B$2:B17, 6)=1), 1, 0)</f>
        <v>0</v>
      </c>
      <c r="I17">
        <f>IF(AND(B17=2, COUNTIFS($A$2:A17, A17, $B$2:B17, 2)=1), 1, 0)</f>
        <v>0</v>
      </c>
    </row>
    <row r="18" spans="1:9">
      <c r="A18" s="22">
        <v>77010000094</v>
      </c>
      <c r="B18" s="22">
        <v>1</v>
      </c>
      <c r="C18" s="23" t="s">
        <v>0</v>
      </c>
      <c r="D18" s="22">
        <v>0.43</v>
      </c>
      <c r="E18" s="39">
        <v>1</v>
      </c>
      <c r="F18">
        <f>IF(COUNTIF($A$2:A18, A18)=1, 1, 0)</f>
        <v>1</v>
      </c>
      <c r="G18">
        <f>IF(AND(C18="Внутри сети", COUNTIFS($A$2:A18, A18, $C$2:C18, "Внутри сети")=1), 1, 0)</f>
        <v>1</v>
      </c>
      <c r="H18">
        <f>IF(AND(B18=6, COUNTIFS($A$2:A18, A18, $B$2:B18, 6)=1), 1, 0)</f>
        <v>0</v>
      </c>
      <c r="I18">
        <f>IF(AND(B18=2, COUNTIFS($A$2:A18, A18, $B$2:B18, 2)=1), 1, 0)</f>
        <v>0</v>
      </c>
    </row>
    <row r="19" spans="1:9">
      <c r="A19" s="22">
        <v>77010000003</v>
      </c>
      <c r="B19" s="22">
        <v>1</v>
      </c>
      <c r="C19" s="23" t="s">
        <v>0</v>
      </c>
      <c r="D19" s="22">
        <v>0.43</v>
      </c>
      <c r="E19" s="39">
        <v>1</v>
      </c>
      <c r="F19">
        <f>IF(COUNTIF($A$2:A19, A19)=1, 1, 0)</f>
        <v>0</v>
      </c>
      <c r="G19">
        <f>IF(AND(C19="Внутри сети", COUNTIFS($A$2:A19, A19, $C$2:C19, "Внутри сети")=1), 1, 0)</f>
        <v>0</v>
      </c>
      <c r="H19">
        <f>IF(AND(B19=6, COUNTIFS($A$2:A19, A19, $B$2:B19, 6)=1), 1, 0)</f>
        <v>0</v>
      </c>
      <c r="I19">
        <f>IF(AND(B19=2, COUNTIFS($A$2:A19, A19, $B$2:B19, 2)=1), 1, 0)</f>
        <v>0</v>
      </c>
    </row>
    <row r="20" spans="1:9">
      <c r="A20" s="22">
        <v>77010000042</v>
      </c>
      <c r="B20" s="22">
        <v>1</v>
      </c>
      <c r="C20" s="23" t="s">
        <v>2</v>
      </c>
      <c r="D20" s="22">
        <v>7.43</v>
      </c>
      <c r="E20" s="39">
        <v>1</v>
      </c>
      <c r="F20">
        <f>IF(COUNTIF($A$2:A20, A20)=1, 1, 0)</f>
        <v>1</v>
      </c>
      <c r="G20">
        <f>IF(AND(C20="Внутри сети", COUNTIFS($A$2:A20, A20, $C$2:C20, "Внутри сети")=1), 1, 0)</f>
        <v>0</v>
      </c>
      <c r="H20">
        <f>IF(AND(B20=6, COUNTIFS($A$2:A20, A20, $B$2:B20, 6)=1), 1, 0)</f>
        <v>0</v>
      </c>
      <c r="I20">
        <f>IF(AND(B20=2, COUNTIFS($A$2:A20, A20, $B$2:B20, 2)=1), 1, 0)</f>
        <v>0</v>
      </c>
    </row>
    <row r="21" spans="1:9">
      <c r="A21" s="22">
        <v>77010000008</v>
      </c>
      <c r="B21" s="22">
        <v>1</v>
      </c>
      <c r="C21" s="23" t="s">
        <v>0</v>
      </c>
      <c r="D21" s="22">
        <v>0.43</v>
      </c>
      <c r="E21" s="39">
        <v>1</v>
      </c>
      <c r="F21">
        <f>IF(COUNTIF($A$2:A21, A21)=1, 1, 0)</f>
        <v>0</v>
      </c>
      <c r="G21">
        <f>IF(AND(C21="Внутри сети", COUNTIFS($A$2:A21, A21, $C$2:C21, "Внутри сети")=1), 1, 0)</f>
        <v>0</v>
      </c>
      <c r="H21">
        <f>IF(AND(B21=6, COUNTIFS($A$2:A21, A21, $B$2:B21, 6)=1), 1, 0)</f>
        <v>0</v>
      </c>
      <c r="I21">
        <f>IF(AND(B21=2, COUNTIFS($A$2:A21, A21, $B$2:B21, 2)=1), 1, 0)</f>
        <v>0</v>
      </c>
    </row>
    <row r="22" spans="1:9">
      <c r="A22" s="22">
        <v>77010000014</v>
      </c>
      <c r="B22" s="22">
        <v>1</v>
      </c>
      <c r="C22" s="23" t="s">
        <v>0</v>
      </c>
      <c r="D22" s="22">
        <v>0.43</v>
      </c>
      <c r="E22" s="39">
        <v>1</v>
      </c>
      <c r="F22">
        <f>IF(COUNTIF($A$2:A22, A22)=1, 1, 0)</f>
        <v>1</v>
      </c>
      <c r="G22">
        <f>IF(AND(C22="Внутри сети", COUNTIFS($A$2:A22, A22, $C$2:C22, "Внутри сети")=1), 1, 0)</f>
        <v>1</v>
      </c>
      <c r="H22">
        <f>IF(AND(B22=6, COUNTIFS($A$2:A22, A22, $B$2:B22, 6)=1), 1, 0)</f>
        <v>0</v>
      </c>
      <c r="I22">
        <f>IF(AND(B22=2, COUNTIFS($A$2:A22, A22, $B$2:B22, 2)=1), 1, 0)</f>
        <v>0</v>
      </c>
    </row>
    <row r="23" spans="1:9">
      <c r="A23" s="22">
        <v>77010000017</v>
      </c>
      <c r="B23" s="22">
        <v>1</v>
      </c>
      <c r="C23" s="23" t="s">
        <v>0</v>
      </c>
      <c r="D23" s="22">
        <v>0.43</v>
      </c>
      <c r="E23" s="39">
        <v>1</v>
      </c>
      <c r="F23">
        <f>IF(COUNTIF($A$2:A23, A23)=1, 1, 0)</f>
        <v>1</v>
      </c>
      <c r="G23">
        <f>IF(AND(C23="Внутри сети", COUNTIFS($A$2:A23, A23, $C$2:C23, "Внутри сети")=1), 1, 0)</f>
        <v>1</v>
      </c>
      <c r="H23">
        <f>IF(AND(B23=6, COUNTIFS($A$2:A23, A23, $B$2:B23, 6)=1), 1, 0)</f>
        <v>0</v>
      </c>
      <c r="I23">
        <f>IF(AND(B23=2, COUNTIFS($A$2:A23, A23, $B$2:B23, 2)=1), 1, 0)</f>
        <v>0</v>
      </c>
    </row>
    <row r="24" spans="1:9">
      <c r="A24" s="22">
        <v>77010000040</v>
      </c>
      <c r="B24" s="22">
        <v>1</v>
      </c>
      <c r="C24" s="23" t="s">
        <v>0</v>
      </c>
      <c r="D24" s="22">
        <v>0.43</v>
      </c>
      <c r="E24" s="39">
        <v>1</v>
      </c>
      <c r="F24">
        <f>IF(COUNTIF($A$2:A24, A24)=1, 1, 0)</f>
        <v>1</v>
      </c>
      <c r="G24">
        <f>IF(AND(C24="Внутри сети", COUNTIFS($A$2:A24, A24, $C$2:C24, "Внутри сети")=1), 1, 0)</f>
        <v>1</v>
      </c>
      <c r="H24">
        <f>IF(AND(B24=6, COUNTIFS($A$2:A24, A24, $B$2:B24, 6)=1), 1, 0)</f>
        <v>0</v>
      </c>
      <c r="I24">
        <f>IF(AND(B24=2, COUNTIFS($A$2:A24, A24, $B$2:B24, 2)=1), 1, 0)</f>
        <v>0</v>
      </c>
    </row>
    <row r="25" spans="1:9">
      <c r="A25" s="22">
        <v>77010000056</v>
      </c>
      <c r="B25" s="22">
        <v>1</v>
      </c>
      <c r="C25" s="23" t="s">
        <v>0</v>
      </c>
      <c r="D25" s="22">
        <v>0.43</v>
      </c>
      <c r="E25" s="39">
        <v>1</v>
      </c>
      <c r="F25">
        <f>IF(COUNTIF($A$2:A25, A25)=1, 1, 0)</f>
        <v>1</v>
      </c>
      <c r="G25">
        <f>IF(AND(C25="Внутри сети", COUNTIFS($A$2:A25, A25, $C$2:C25, "Внутри сети")=1), 1, 0)</f>
        <v>1</v>
      </c>
      <c r="H25">
        <f>IF(AND(B25=6, COUNTIFS($A$2:A25, A25, $B$2:B25, 6)=1), 1, 0)</f>
        <v>0</v>
      </c>
      <c r="I25">
        <f>IF(AND(B25=2, COUNTIFS($A$2:A25, A25, $B$2:B25, 2)=1), 1, 0)</f>
        <v>0</v>
      </c>
    </row>
    <row r="26" spans="1:9">
      <c r="A26" s="22">
        <v>77010000061</v>
      </c>
      <c r="B26" s="22">
        <v>1</v>
      </c>
      <c r="C26" s="23" t="s">
        <v>0</v>
      </c>
      <c r="D26" s="22">
        <v>0.43</v>
      </c>
      <c r="E26" s="39">
        <v>1</v>
      </c>
      <c r="F26">
        <f>IF(COUNTIF($A$2:A26, A26)=1, 1, 0)</f>
        <v>1</v>
      </c>
      <c r="G26">
        <f>IF(AND(C26="Внутри сети", COUNTIFS($A$2:A26, A26, $C$2:C26, "Внутри сети")=1), 1, 0)</f>
        <v>1</v>
      </c>
      <c r="H26">
        <f>IF(AND(B26=6, COUNTIFS($A$2:A26, A26, $B$2:B26, 6)=1), 1, 0)</f>
        <v>0</v>
      </c>
      <c r="I26">
        <f>IF(AND(B26=2, COUNTIFS($A$2:A26, A26, $B$2:B26, 2)=1), 1, 0)</f>
        <v>0</v>
      </c>
    </row>
    <row r="27" spans="1:9">
      <c r="A27" s="22">
        <v>77010000078</v>
      </c>
      <c r="B27" s="22">
        <v>1</v>
      </c>
      <c r="C27" s="23" t="s">
        <v>0</v>
      </c>
      <c r="D27" s="22">
        <v>0.43</v>
      </c>
      <c r="E27" s="39">
        <v>1</v>
      </c>
      <c r="F27">
        <f>IF(COUNTIF($A$2:A27, A27)=1, 1, 0)</f>
        <v>1</v>
      </c>
      <c r="G27">
        <f>IF(AND(C27="Внутри сети", COUNTIFS($A$2:A27, A27, $C$2:C27, "Внутри сети")=1), 1, 0)</f>
        <v>1</v>
      </c>
      <c r="H27">
        <f>IF(AND(B27=6, COUNTIFS($A$2:A27, A27, $B$2:B27, 6)=1), 1, 0)</f>
        <v>0</v>
      </c>
      <c r="I27">
        <f>IF(AND(B27=2, COUNTIFS($A$2:A27, A27, $B$2:B27, 2)=1), 1, 0)</f>
        <v>0</v>
      </c>
    </row>
    <row r="28" spans="1:9">
      <c r="A28" s="22">
        <v>77010000005</v>
      </c>
      <c r="B28" s="22">
        <v>1</v>
      </c>
      <c r="C28" s="23" t="s">
        <v>0</v>
      </c>
      <c r="D28" s="22">
        <v>0.85</v>
      </c>
      <c r="E28" s="39">
        <v>2</v>
      </c>
      <c r="F28">
        <f>IF(COUNTIF($A$2:A28, A28)=1, 1, 0)</f>
        <v>1</v>
      </c>
      <c r="G28">
        <f>IF(AND(C28="Внутри сети", COUNTIFS($A$2:A28, A28, $C$2:C28, "Внутри сети")=1), 1, 0)</f>
        <v>1</v>
      </c>
      <c r="H28">
        <f>IF(AND(B28=6, COUNTIFS($A$2:A28, A28, $B$2:B28, 6)=1), 1, 0)</f>
        <v>0</v>
      </c>
      <c r="I28">
        <f>IF(AND(B28=2, COUNTIFS($A$2:A28, A28, $B$2:B28, 2)=1), 1, 0)</f>
        <v>0</v>
      </c>
    </row>
    <row r="29" spans="1:9">
      <c r="A29" s="22">
        <v>77010000006</v>
      </c>
      <c r="B29" s="22">
        <v>1</v>
      </c>
      <c r="C29" s="23" t="s">
        <v>0</v>
      </c>
      <c r="D29" s="22">
        <v>0.85</v>
      </c>
      <c r="E29" s="39">
        <v>2</v>
      </c>
      <c r="F29">
        <f>IF(COUNTIF($A$2:A29, A29)=1, 1, 0)</f>
        <v>1</v>
      </c>
      <c r="G29">
        <f>IF(AND(C29="Внутри сети", COUNTIFS($A$2:A29, A29, $C$2:C29, "Внутри сети")=1), 1, 0)</f>
        <v>1</v>
      </c>
      <c r="H29">
        <f>IF(AND(B29=6, COUNTIFS($A$2:A29, A29, $B$2:B29, 6)=1), 1, 0)</f>
        <v>0</v>
      </c>
      <c r="I29">
        <f>IF(AND(B29=2, COUNTIFS($A$2:A29, A29, $B$2:B29, 2)=1), 1, 0)</f>
        <v>0</v>
      </c>
    </row>
    <row r="30" spans="1:9">
      <c r="A30" s="22">
        <v>77010000051</v>
      </c>
      <c r="B30" s="22">
        <v>1</v>
      </c>
      <c r="C30" s="23" t="s">
        <v>1</v>
      </c>
      <c r="D30" s="22">
        <v>7.43</v>
      </c>
      <c r="E30" s="39">
        <v>2</v>
      </c>
      <c r="F30">
        <f>IF(COUNTIF($A$2:A30, A30)=1, 1, 0)</f>
        <v>1</v>
      </c>
      <c r="G30">
        <f>IF(AND(C30="Внутри сети", COUNTIFS($A$2:A30, A30, $C$2:C30, "Внутри сети")=1), 1, 0)</f>
        <v>0</v>
      </c>
      <c r="H30">
        <f>IF(AND(B30=6, COUNTIFS($A$2:A30, A30, $B$2:B30, 6)=1), 1, 0)</f>
        <v>0</v>
      </c>
      <c r="I30">
        <f>IF(AND(B30=2, COUNTIFS($A$2:A30, A30, $B$2:B30, 2)=1), 1, 0)</f>
        <v>0</v>
      </c>
    </row>
    <row r="31" spans="1:9">
      <c r="A31" s="22">
        <v>77010000058</v>
      </c>
      <c r="B31" s="22">
        <v>1</v>
      </c>
      <c r="C31" s="23" t="s">
        <v>0</v>
      </c>
      <c r="D31" s="22">
        <v>0.85</v>
      </c>
      <c r="E31" s="39">
        <v>2</v>
      </c>
      <c r="F31">
        <f>IF(COUNTIF($A$2:A31, A31)=1, 1, 0)</f>
        <v>1</v>
      </c>
      <c r="G31">
        <f>IF(AND(C31="Внутри сети", COUNTIFS($A$2:A31, A31, $C$2:C31, "Внутри сети")=1), 1, 0)</f>
        <v>1</v>
      </c>
      <c r="H31">
        <f>IF(AND(B31=6, COUNTIFS($A$2:A31, A31, $B$2:B31, 6)=1), 1, 0)</f>
        <v>0</v>
      </c>
      <c r="I31">
        <f>IF(AND(B31=2, COUNTIFS($A$2:A31, A31, $B$2:B31, 2)=1), 1, 0)</f>
        <v>0</v>
      </c>
    </row>
    <row r="32" spans="1:9">
      <c r="A32" s="22">
        <v>77010000070</v>
      </c>
      <c r="B32" s="22">
        <v>1</v>
      </c>
      <c r="C32" s="23" t="s">
        <v>0</v>
      </c>
      <c r="D32" s="22">
        <v>0.85</v>
      </c>
      <c r="E32" s="39">
        <v>2</v>
      </c>
      <c r="F32">
        <f>IF(COUNTIF($A$2:A32, A32)=1, 1, 0)</f>
        <v>1</v>
      </c>
      <c r="G32">
        <f>IF(AND(C32="Внутри сети", COUNTIFS($A$2:A32, A32, $C$2:C32, "Внутри сети")=1), 1, 0)</f>
        <v>1</v>
      </c>
      <c r="H32">
        <f>IF(AND(B32=6, COUNTIFS($A$2:A32, A32, $B$2:B32, 6)=1), 1, 0)</f>
        <v>0</v>
      </c>
      <c r="I32">
        <f>IF(AND(B32=2, COUNTIFS($A$2:A32, A32, $B$2:B32, 2)=1), 1, 0)</f>
        <v>0</v>
      </c>
    </row>
    <row r="33" spans="1:9">
      <c r="A33" s="22">
        <v>77010000058</v>
      </c>
      <c r="B33" s="22">
        <v>1</v>
      </c>
      <c r="C33" s="23" t="s">
        <v>0</v>
      </c>
      <c r="D33" s="22">
        <v>0.85</v>
      </c>
      <c r="E33" s="39">
        <v>2</v>
      </c>
      <c r="F33">
        <f>IF(COUNTIF($A$2:A33, A33)=1, 1, 0)</f>
        <v>0</v>
      </c>
      <c r="G33">
        <f>IF(AND(C33="Внутри сети", COUNTIFS($A$2:A33, A33, $C$2:C33, "Внутри сети")=1), 1, 0)</f>
        <v>0</v>
      </c>
      <c r="H33">
        <f>IF(AND(B33=6, COUNTIFS($A$2:A33, A33, $B$2:B33, 6)=1), 1, 0)</f>
        <v>0</v>
      </c>
      <c r="I33">
        <f>IF(AND(B33=2, COUNTIFS($A$2:A33, A33, $B$2:B33, 2)=1), 1, 0)</f>
        <v>0</v>
      </c>
    </row>
    <row r="34" spans="1:9">
      <c r="A34" s="22">
        <v>77010000064</v>
      </c>
      <c r="B34" s="22">
        <v>1</v>
      </c>
      <c r="C34" s="23" t="s">
        <v>0</v>
      </c>
      <c r="D34" s="22">
        <v>0.85</v>
      </c>
      <c r="E34" s="39">
        <v>2</v>
      </c>
      <c r="F34">
        <f>IF(COUNTIF($A$2:A34, A34)=1, 1, 0)</f>
        <v>1</v>
      </c>
      <c r="G34">
        <f>IF(AND(C34="Внутри сети", COUNTIFS($A$2:A34, A34, $C$2:C34, "Внутри сети")=1), 1, 0)</f>
        <v>1</v>
      </c>
      <c r="H34">
        <f>IF(AND(B34=6, COUNTIFS($A$2:A34, A34, $B$2:B34, 6)=1), 1, 0)</f>
        <v>0</v>
      </c>
      <c r="I34">
        <f>IF(AND(B34=2, COUNTIFS($A$2:A34, A34, $B$2:B34, 2)=1), 1, 0)</f>
        <v>0</v>
      </c>
    </row>
    <row r="35" spans="1:9">
      <c r="A35" s="22">
        <v>77010000065</v>
      </c>
      <c r="B35" s="22">
        <v>1</v>
      </c>
      <c r="C35" s="23" t="s">
        <v>0</v>
      </c>
      <c r="D35" s="22">
        <v>0.85</v>
      </c>
      <c r="E35" s="39">
        <v>2</v>
      </c>
      <c r="F35">
        <f>IF(COUNTIF($A$2:A35, A35)=1, 1, 0)</f>
        <v>0</v>
      </c>
      <c r="G35">
        <f>IF(AND(C35="Внутри сети", COUNTIFS($A$2:A35, A35, $C$2:C35, "Внутри сети")=1), 1, 0)</f>
        <v>0</v>
      </c>
      <c r="H35">
        <f>IF(AND(B35=6, COUNTIFS($A$2:A35, A35, $B$2:B35, 6)=1), 1, 0)</f>
        <v>0</v>
      </c>
      <c r="I35">
        <f>IF(AND(B35=2, COUNTIFS($A$2:A35, A35, $B$2:B35, 2)=1), 1, 0)</f>
        <v>0</v>
      </c>
    </row>
    <row r="36" spans="1:9">
      <c r="A36" s="22">
        <v>77010000037</v>
      </c>
      <c r="B36" s="22">
        <v>1</v>
      </c>
      <c r="C36" s="23" t="s">
        <v>2</v>
      </c>
      <c r="D36" s="22">
        <v>7.43</v>
      </c>
      <c r="E36" s="39">
        <v>2</v>
      </c>
      <c r="F36">
        <f>IF(COUNTIF($A$2:A36, A36)=1, 1, 0)</f>
        <v>1</v>
      </c>
      <c r="G36">
        <f>IF(AND(C36="Внутри сети", COUNTIFS($A$2:A36, A36, $C$2:C36, "Внутри сети")=1), 1, 0)</f>
        <v>0</v>
      </c>
      <c r="H36">
        <f>IF(AND(B36=6, COUNTIFS($A$2:A36, A36, $B$2:B36, 6)=1), 1, 0)</f>
        <v>0</v>
      </c>
      <c r="I36">
        <f>IF(AND(B36=2, COUNTIFS($A$2:A36, A36, $B$2:B36, 2)=1), 1, 0)</f>
        <v>0</v>
      </c>
    </row>
    <row r="37" spans="1:9">
      <c r="A37" s="22">
        <v>77010000078</v>
      </c>
      <c r="B37" s="22">
        <v>1</v>
      </c>
      <c r="C37" s="23" t="s">
        <v>0</v>
      </c>
      <c r="D37" s="22">
        <v>0.85</v>
      </c>
      <c r="E37" s="39">
        <v>2</v>
      </c>
      <c r="F37">
        <f>IF(COUNTIF($A$2:A37, A37)=1, 1, 0)</f>
        <v>0</v>
      </c>
      <c r="G37">
        <f>IF(AND(C37="Внутри сети", COUNTIFS($A$2:A37, A37, $C$2:C37, "Внутри сети")=1), 1, 0)</f>
        <v>0</v>
      </c>
      <c r="H37">
        <f>IF(AND(B37=6, COUNTIFS($A$2:A37, A37, $B$2:B37, 6)=1), 1, 0)</f>
        <v>0</v>
      </c>
      <c r="I37">
        <f>IF(AND(B37=2, COUNTIFS($A$2:A37, A37, $B$2:B37, 2)=1), 1, 0)</f>
        <v>0</v>
      </c>
    </row>
    <row r="38" spans="1:9">
      <c r="A38" s="22">
        <v>77010000086</v>
      </c>
      <c r="B38" s="22">
        <v>1</v>
      </c>
      <c r="C38" s="23" t="s">
        <v>0</v>
      </c>
      <c r="D38" s="22">
        <v>0.85</v>
      </c>
      <c r="E38" s="39">
        <v>2</v>
      </c>
      <c r="F38">
        <f>IF(COUNTIF($A$2:A38, A38)=1, 1, 0)</f>
        <v>1</v>
      </c>
      <c r="G38">
        <f>IF(AND(C38="Внутри сети", COUNTIFS($A$2:A38, A38, $C$2:C38, "Внутри сети")=1), 1, 0)</f>
        <v>1</v>
      </c>
      <c r="H38">
        <f>IF(AND(B38=6, COUNTIFS($A$2:A38, A38, $B$2:B38, 6)=1), 1, 0)</f>
        <v>0</v>
      </c>
      <c r="I38">
        <f>IF(AND(B38=2, COUNTIFS($A$2:A38, A38, $B$2:B38, 2)=1), 1, 0)</f>
        <v>0</v>
      </c>
    </row>
    <row r="39" spans="1:9">
      <c r="A39" s="22">
        <v>77010000092</v>
      </c>
      <c r="B39" s="22">
        <v>1</v>
      </c>
      <c r="C39" s="23" t="s">
        <v>0</v>
      </c>
      <c r="D39" s="22">
        <v>0.85</v>
      </c>
      <c r="E39" s="39">
        <v>2</v>
      </c>
      <c r="F39">
        <f>IF(COUNTIF($A$2:A39, A39)=1, 1, 0)</f>
        <v>1</v>
      </c>
      <c r="G39">
        <f>IF(AND(C39="Внутри сети", COUNTIFS($A$2:A39, A39, $C$2:C39, "Внутри сети")=1), 1, 0)</f>
        <v>1</v>
      </c>
      <c r="H39">
        <f>IF(AND(B39=6, COUNTIFS($A$2:A39, A39, $B$2:B39, 6)=1), 1, 0)</f>
        <v>0</v>
      </c>
      <c r="I39">
        <f>IF(AND(B39=2, COUNTIFS($A$2:A39, A39, $B$2:B39, 2)=1), 1, 0)</f>
        <v>0</v>
      </c>
    </row>
    <row r="40" spans="1:9">
      <c r="A40" s="22">
        <v>77010000095</v>
      </c>
      <c r="B40" s="22">
        <v>1</v>
      </c>
      <c r="C40" s="23" t="s">
        <v>0</v>
      </c>
      <c r="D40" s="22">
        <v>0.85</v>
      </c>
      <c r="E40" s="39">
        <v>2</v>
      </c>
      <c r="F40">
        <f>IF(COUNTIF($A$2:A40, A40)=1, 1, 0)</f>
        <v>1</v>
      </c>
      <c r="G40">
        <f>IF(AND(C40="Внутри сети", COUNTIFS($A$2:A40, A40, $C$2:C40, "Внутри сети")=1), 1, 0)</f>
        <v>1</v>
      </c>
      <c r="H40">
        <f>IF(AND(B40=6, COUNTIFS($A$2:A40, A40, $B$2:B40, 6)=1), 1, 0)</f>
        <v>0</v>
      </c>
      <c r="I40">
        <f>IF(AND(B40=2, COUNTIFS($A$2:A40, A40, $B$2:B40, 2)=1), 1, 0)</f>
        <v>0</v>
      </c>
    </row>
    <row r="41" spans="1:9">
      <c r="A41" s="22">
        <v>77010000001</v>
      </c>
      <c r="B41" s="22">
        <v>1</v>
      </c>
      <c r="C41" s="23" t="s">
        <v>0</v>
      </c>
      <c r="D41" s="22">
        <v>0.85</v>
      </c>
      <c r="E41" s="39">
        <v>2</v>
      </c>
      <c r="F41">
        <f>IF(COUNTIF($A$2:A41, A41)=1, 1, 0)</f>
        <v>0</v>
      </c>
      <c r="G41">
        <f>IF(AND(C41="Внутри сети", COUNTIFS($A$2:A41, A41, $C$2:C41, "Внутри сети")=1), 1, 0)</f>
        <v>0</v>
      </c>
      <c r="H41">
        <f>IF(AND(B41=6, COUNTIFS($A$2:A41, A41, $B$2:B41, 6)=1), 1, 0)</f>
        <v>0</v>
      </c>
      <c r="I41">
        <f>IF(AND(B41=2, COUNTIFS($A$2:A41, A41, $B$2:B41, 2)=1), 1, 0)</f>
        <v>0</v>
      </c>
    </row>
    <row r="42" spans="1:9">
      <c r="A42" s="22">
        <v>77010000009</v>
      </c>
      <c r="B42" s="22">
        <v>1</v>
      </c>
      <c r="C42" s="23" t="s">
        <v>0</v>
      </c>
      <c r="D42" s="22">
        <v>0.85</v>
      </c>
      <c r="E42" s="39">
        <v>2</v>
      </c>
      <c r="F42">
        <f>IF(COUNTIF($A$2:A42, A42)=1, 1, 0)</f>
        <v>1</v>
      </c>
      <c r="G42">
        <f>IF(AND(C42="Внутри сети", COUNTIFS($A$2:A42, A42, $C$2:C42, "Внутри сети")=1), 1, 0)</f>
        <v>1</v>
      </c>
      <c r="H42">
        <f>IF(AND(B42=6, COUNTIFS($A$2:A42, A42, $B$2:B42, 6)=1), 1, 0)</f>
        <v>0</v>
      </c>
      <c r="I42">
        <f>IF(AND(B42=2, COUNTIFS($A$2:A42, A42, $B$2:B42, 2)=1), 1, 0)</f>
        <v>0</v>
      </c>
    </row>
    <row r="43" spans="1:9">
      <c r="A43" s="22">
        <v>77010000010</v>
      </c>
      <c r="B43" s="22">
        <v>1</v>
      </c>
      <c r="C43" s="23" t="s">
        <v>0</v>
      </c>
      <c r="D43" s="22">
        <v>0.85</v>
      </c>
      <c r="E43" s="39">
        <v>2</v>
      </c>
      <c r="F43">
        <f>IF(COUNTIF($A$2:A43, A43)=1, 1, 0)</f>
        <v>1</v>
      </c>
      <c r="G43">
        <f>IF(AND(C43="Внутри сети", COUNTIFS($A$2:A43, A43, $C$2:C43, "Внутри сети")=1), 1, 0)</f>
        <v>1</v>
      </c>
      <c r="H43">
        <f>IF(AND(B43=6, COUNTIFS($A$2:A43, A43, $B$2:B43, 6)=1), 1, 0)</f>
        <v>0</v>
      </c>
      <c r="I43">
        <f>IF(AND(B43=2, COUNTIFS($A$2:A43, A43, $B$2:B43, 2)=1), 1, 0)</f>
        <v>0</v>
      </c>
    </row>
    <row r="44" spans="1:9">
      <c r="A44" s="22">
        <v>77010000016</v>
      </c>
      <c r="B44" s="22">
        <v>1</v>
      </c>
      <c r="C44" s="23" t="s">
        <v>0</v>
      </c>
      <c r="D44" s="22">
        <v>0.85</v>
      </c>
      <c r="E44" s="39">
        <v>2</v>
      </c>
      <c r="F44">
        <f>IF(COUNTIF($A$2:A44, A44)=1, 1, 0)</f>
        <v>1</v>
      </c>
      <c r="G44">
        <f>IF(AND(C44="Внутри сети", COUNTIFS($A$2:A44, A44, $C$2:C44, "Внутри сети")=1), 1, 0)</f>
        <v>1</v>
      </c>
      <c r="H44">
        <f>IF(AND(B44=6, COUNTIFS($A$2:A44, A44, $B$2:B44, 6)=1), 1, 0)</f>
        <v>0</v>
      </c>
      <c r="I44">
        <f>IF(AND(B44=2, COUNTIFS($A$2:A44, A44, $B$2:B44, 2)=1), 1, 0)</f>
        <v>0</v>
      </c>
    </row>
    <row r="45" spans="1:9">
      <c r="A45" s="22">
        <v>77010000081</v>
      </c>
      <c r="B45" s="22">
        <v>1</v>
      </c>
      <c r="C45" s="23" t="s">
        <v>0</v>
      </c>
      <c r="D45" s="22">
        <v>0.85</v>
      </c>
      <c r="E45" s="39">
        <v>2</v>
      </c>
      <c r="F45">
        <f>IF(COUNTIF($A$2:A45, A45)=1, 1, 0)</f>
        <v>1</v>
      </c>
      <c r="G45">
        <f>IF(AND(C45="Внутри сети", COUNTIFS($A$2:A45, A45, $C$2:C45, "Внутри сети")=1), 1, 0)</f>
        <v>1</v>
      </c>
      <c r="H45">
        <f>IF(AND(B45=6, COUNTIFS($A$2:A45, A45, $B$2:B45, 6)=1), 1, 0)</f>
        <v>0</v>
      </c>
      <c r="I45">
        <f>IF(AND(B45=2, COUNTIFS($A$2:A45, A45, $B$2:B45, 2)=1), 1, 0)</f>
        <v>0</v>
      </c>
    </row>
    <row r="46" spans="1:9">
      <c r="A46" s="22">
        <v>77010000067</v>
      </c>
      <c r="B46" s="22">
        <v>1</v>
      </c>
      <c r="C46" s="23" t="s">
        <v>0</v>
      </c>
      <c r="D46" s="22">
        <v>1.28</v>
      </c>
      <c r="E46" s="39">
        <v>3</v>
      </c>
      <c r="F46">
        <f>IF(COUNTIF($A$2:A46, A46)=1, 1, 0)</f>
        <v>1</v>
      </c>
      <c r="G46">
        <f>IF(AND(C46="Внутри сети", COUNTIFS($A$2:A46, A46, $C$2:C46, "Внутри сети")=1), 1, 0)</f>
        <v>1</v>
      </c>
      <c r="H46">
        <f>IF(AND(B46=6, COUNTIFS($A$2:A46, A46, $B$2:B46, 6)=1), 1, 0)</f>
        <v>0</v>
      </c>
      <c r="I46">
        <f>IF(AND(B46=2, COUNTIFS($A$2:A46, A46, $B$2:B46, 2)=1), 1, 0)</f>
        <v>0</v>
      </c>
    </row>
    <row r="47" spans="1:9">
      <c r="A47" s="22">
        <v>77010000075</v>
      </c>
      <c r="B47" s="22">
        <v>1</v>
      </c>
      <c r="C47" s="23" t="s">
        <v>0</v>
      </c>
      <c r="D47" s="22">
        <v>1.28</v>
      </c>
      <c r="E47" s="39">
        <v>3</v>
      </c>
      <c r="F47">
        <f>IF(COUNTIF($A$2:A47, A47)=1, 1, 0)</f>
        <v>1</v>
      </c>
      <c r="G47">
        <f>IF(AND(C47="Внутри сети", COUNTIFS($A$2:A47, A47, $C$2:C47, "Внутри сети")=1), 1, 0)</f>
        <v>1</v>
      </c>
      <c r="H47">
        <f>IF(AND(B47=6, COUNTIFS($A$2:A47, A47, $B$2:B47, 6)=1), 1, 0)</f>
        <v>0</v>
      </c>
      <c r="I47">
        <f>IF(AND(B47=2, COUNTIFS($A$2:A47, A47, $B$2:B47, 2)=1), 1, 0)</f>
        <v>0</v>
      </c>
    </row>
    <row r="48" spans="1:9">
      <c r="A48" s="22">
        <v>77010000088</v>
      </c>
      <c r="B48" s="22">
        <v>1</v>
      </c>
      <c r="C48" s="23" t="s">
        <v>0</v>
      </c>
      <c r="D48" s="22">
        <v>1.28</v>
      </c>
      <c r="E48" s="39">
        <v>3</v>
      </c>
      <c r="F48">
        <f>IF(COUNTIF($A$2:A48, A48)=1, 1, 0)</f>
        <v>1</v>
      </c>
      <c r="G48">
        <f>IF(AND(C48="Внутри сети", COUNTIFS($A$2:A48, A48, $C$2:C48, "Внутри сети")=1), 1, 0)</f>
        <v>1</v>
      </c>
      <c r="H48">
        <f>IF(AND(B48=6, COUNTIFS($A$2:A48, A48, $B$2:B48, 6)=1), 1, 0)</f>
        <v>0</v>
      </c>
      <c r="I48">
        <f>IF(AND(B48=2, COUNTIFS($A$2:A48, A48, $B$2:B48, 2)=1), 1, 0)</f>
        <v>0</v>
      </c>
    </row>
    <row r="49" spans="1:9">
      <c r="A49" s="22">
        <v>77010000002</v>
      </c>
      <c r="B49" s="22">
        <v>1</v>
      </c>
      <c r="C49" s="23" t="s">
        <v>0</v>
      </c>
      <c r="D49" s="22">
        <v>1.28</v>
      </c>
      <c r="E49" s="39">
        <v>3</v>
      </c>
      <c r="F49">
        <f>IF(COUNTIF($A$2:A49, A49)=1, 1, 0)</f>
        <v>1</v>
      </c>
      <c r="G49">
        <f>IF(AND(C49="Внутри сети", COUNTIFS($A$2:A49, A49, $C$2:C49, "Внутри сети")=1), 1, 0)</f>
        <v>1</v>
      </c>
      <c r="H49">
        <f>IF(AND(B49=6, COUNTIFS($A$2:A49, A49, $B$2:B49, 6)=1), 1, 0)</f>
        <v>0</v>
      </c>
      <c r="I49">
        <f>IF(AND(B49=2, COUNTIFS($A$2:A49, A49, $B$2:B49, 2)=1), 1, 0)</f>
        <v>0</v>
      </c>
    </row>
    <row r="50" spans="1:9">
      <c r="A50" s="22">
        <v>77010000049</v>
      </c>
      <c r="B50" s="22">
        <v>1</v>
      </c>
      <c r="C50" s="23" t="s">
        <v>0</v>
      </c>
      <c r="D50" s="22">
        <v>1.28</v>
      </c>
      <c r="E50" s="39">
        <v>3</v>
      </c>
      <c r="F50">
        <f>IF(COUNTIF($A$2:A50, A50)=1, 1, 0)</f>
        <v>1</v>
      </c>
      <c r="G50">
        <f>IF(AND(C50="Внутри сети", COUNTIFS($A$2:A50, A50, $C$2:C50, "Внутри сети")=1), 1, 0)</f>
        <v>1</v>
      </c>
      <c r="H50">
        <f>IF(AND(B50=6, COUNTIFS($A$2:A50, A50, $B$2:B50, 6)=1), 1, 0)</f>
        <v>0</v>
      </c>
      <c r="I50">
        <f>IF(AND(B50=2, COUNTIFS($A$2:A50, A50, $B$2:B50, 2)=1), 1, 0)</f>
        <v>0</v>
      </c>
    </row>
    <row r="51" spans="1:9">
      <c r="A51" s="22">
        <v>77010000079</v>
      </c>
      <c r="B51" s="22">
        <v>1</v>
      </c>
      <c r="C51" s="23" t="s">
        <v>0</v>
      </c>
      <c r="D51" s="22">
        <v>1.28</v>
      </c>
      <c r="E51" s="39">
        <v>3</v>
      </c>
      <c r="F51">
        <f>IF(COUNTIF($A$2:A51, A51)=1, 1, 0)</f>
        <v>1</v>
      </c>
      <c r="G51">
        <f>IF(AND(C51="Внутри сети", COUNTIFS($A$2:A51, A51, $C$2:C51, "Внутри сети")=1), 1, 0)</f>
        <v>1</v>
      </c>
      <c r="H51">
        <f>IF(AND(B51=6, COUNTIFS($A$2:A51, A51, $B$2:B51, 6)=1), 1, 0)</f>
        <v>0</v>
      </c>
      <c r="I51">
        <f>IF(AND(B51=2, COUNTIFS($A$2:A51, A51, $B$2:B51, 2)=1), 1, 0)</f>
        <v>0</v>
      </c>
    </row>
    <row r="52" spans="1:9">
      <c r="A52" s="22">
        <v>77010000002</v>
      </c>
      <c r="B52" s="22">
        <v>1</v>
      </c>
      <c r="C52" s="23" t="s">
        <v>0</v>
      </c>
      <c r="D52" s="22">
        <v>1.7</v>
      </c>
      <c r="E52" s="39">
        <v>4</v>
      </c>
      <c r="F52">
        <f>IF(COUNTIF($A$2:A52, A52)=1, 1, 0)</f>
        <v>0</v>
      </c>
      <c r="G52">
        <f>IF(AND(C52="Внутри сети", COUNTIFS($A$2:A52, A52, $C$2:C52, "Внутри сети")=1), 1, 0)</f>
        <v>0</v>
      </c>
      <c r="H52">
        <f>IF(AND(B52=6, COUNTIFS($A$2:A52, A52, $B$2:B52, 6)=1), 1, 0)</f>
        <v>0</v>
      </c>
      <c r="I52">
        <f>IF(AND(B52=2, COUNTIFS($A$2:A52, A52, $B$2:B52, 2)=1), 1, 0)</f>
        <v>0</v>
      </c>
    </row>
    <row r="53" spans="1:9">
      <c r="A53" s="22">
        <v>77010000048</v>
      </c>
      <c r="B53" s="22">
        <v>1</v>
      </c>
      <c r="C53" s="23" t="s">
        <v>0</v>
      </c>
      <c r="D53" s="22">
        <v>1.7</v>
      </c>
      <c r="E53" s="39">
        <v>4</v>
      </c>
      <c r="F53">
        <f>IF(COUNTIF($A$2:A53, A53)=1, 1, 0)</f>
        <v>1</v>
      </c>
      <c r="G53">
        <f>IF(AND(C53="Внутри сети", COUNTIFS($A$2:A53, A53, $C$2:C53, "Внутри сети")=1), 1, 0)</f>
        <v>1</v>
      </c>
      <c r="H53">
        <f>IF(AND(B53=6, COUNTIFS($A$2:A53, A53, $B$2:B53, 6)=1), 1, 0)</f>
        <v>0</v>
      </c>
      <c r="I53">
        <f>IF(AND(B53=2, COUNTIFS($A$2:A53, A53, $B$2:B53, 2)=1), 1, 0)</f>
        <v>0</v>
      </c>
    </row>
    <row r="54" spans="1:9">
      <c r="A54" s="22">
        <v>77010000064</v>
      </c>
      <c r="B54" s="22">
        <v>1</v>
      </c>
      <c r="C54" s="23" t="s">
        <v>0</v>
      </c>
      <c r="D54" s="22">
        <v>1.7</v>
      </c>
      <c r="E54" s="39">
        <v>4</v>
      </c>
      <c r="F54">
        <f>IF(COUNTIF($A$2:A54, A54)=1, 1, 0)</f>
        <v>0</v>
      </c>
      <c r="G54">
        <f>IF(AND(C54="Внутри сети", COUNTIFS($A$2:A54, A54, $C$2:C54, "Внутри сети")=1), 1, 0)</f>
        <v>0</v>
      </c>
      <c r="H54">
        <f>IF(AND(B54=6, COUNTIFS($A$2:A54, A54, $B$2:B54, 6)=1), 1, 0)</f>
        <v>0</v>
      </c>
      <c r="I54">
        <f>IF(AND(B54=2, COUNTIFS($A$2:A54, A54, $B$2:B54, 2)=1), 1, 0)</f>
        <v>0</v>
      </c>
    </row>
    <row r="55" spans="1:9">
      <c r="A55" s="22">
        <v>77010000061</v>
      </c>
      <c r="B55" s="22">
        <v>1</v>
      </c>
      <c r="C55" s="23" t="s">
        <v>0</v>
      </c>
      <c r="D55" s="22">
        <v>1.7</v>
      </c>
      <c r="E55" s="39">
        <v>4</v>
      </c>
      <c r="F55">
        <f>IF(COUNTIF($A$2:A55, A55)=1, 1, 0)</f>
        <v>0</v>
      </c>
      <c r="G55">
        <f>IF(AND(C55="Внутри сети", COUNTIFS($A$2:A55, A55, $C$2:C55, "Внутри сети")=1), 1, 0)</f>
        <v>0</v>
      </c>
      <c r="H55">
        <f>IF(AND(B55=6, COUNTIFS($A$2:A55, A55, $B$2:B55, 6)=1), 1, 0)</f>
        <v>0</v>
      </c>
      <c r="I55">
        <f>IF(AND(B55=2, COUNTIFS($A$2:A55, A55, $B$2:B55, 2)=1), 1, 0)</f>
        <v>0</v>
      </c>
    </row>
    <row r="56" spans="1:9">
      <c r="A56" s="22">
        <v>77010000054</v>
      </c>
      <c r="B56" s="22">
        <v>1</v>
      </c>
      <c r="C56" s="23" t="s">
        <v>1</v>
      </c>
      <c r="D56" s="22">
        <v>7.43</v>
      </c>
      <c r="E56" s="39">
        <v>4</v>
      </c>
      <c r="F56">
        <f>IF(COUNTIF($A$2:A56, A56)=1, 1, 0)</f>
        <v>0</v>
      </c>
      <c r="G56">
        <f>IF(AND(C56="Внутри сети", COUNTIFS($A$2:A56, A56, $C$2:C56, "Внутри сети")=1), 1, 0)</f>
        <v>0</v>
      </c>
      <c r="H56">
        <f>IF(AND(B56=6, COUNTIFS($A$2:A56, A56, $B$2:B56, 6)=1), 1, 0)</f>
        <v>0</v>
      </c>
      <c r="I56">
        <f>IF(AND(B56=2, COUNTIFS($A$2:A56, A56, $B$2:B56, 2)=1), 1, 0)</f>
        <v>0</v>
      </c>
    </row>
    <row r="57" spans="1:9">
      <c r="A57" s="22">
        <v>77010000057</v>
      </c>
      <c r="B57" s="22">
        <v>1</v>
      </c>
      <c r="C57" s="23" t="s">
        <v>0</v>
      </c>
      <c r="D57" s="22">
        <v>1.7</v>
      </c>
      <c r="E57" s="39">
        <v>4</v>
      </c>
      <c r="F57">
        <f>IF(COUNTIF($A$2:A57, A57)=1, 1, 0)</f>
        <v>1</v>
      </c>
      <c r="G57">
        <f>IF(AND(C57="Внутри сети", COUNTIFS($A$2:A57, A57, $C$2:C57, "Внутри сети")=1), 1, 0)</f>
        <v>1</v>
      </c>
      <c r="H57">
        <f>IF(AND(B57=6, COUNTIFS($A$2:A57, A57, $B$2:B57, 6)=1), 1, 0)</f>
        <v>0</v>
      </c>
      <c r="I57">
        <f>IF(AND(B57=2, COUNTIFS($A$2:A57, A57, $B$2:B57, 2)=1), 1, 0)</f>
        <v>0</v>
      </c>
    </row>
    <row r="58" spans="1:9">
      <c r="A58" s="22">
        <v>77010000084</v>
      </c>
      <c r="B58" s="22">
        <v>1</v>
      </c>
      <c r="C58" s="23" t="s">
        <v>1</v>
      </c>
      <c r="D58" s="22">
        <v>7.43</v>
      </c>
      <c r="E58" s="39">
        <v>4</v>
      </c>
      <c r="F58">
        <f>IF(COUNTIF($A$2:A58, A58)=1, 1, 0)</f>
        <v>1</v>
      </c>
      <c r="G58">
        <f>IF(AND(C58="Внутри сети", COUNTIFS($A$2:A58, A58, $C$2:C58, "Внутри сети")=1), 1, 0)</f>
        <v>0</v>
      </c>
      <c r="H58">
        <f>IF(AND(B58=6, COUNTIFS($A$2:A58, A58, $B$2:B58, 6)=1), 1, 0)</f>
        <v>0</v>
      </c>
      <c r="I58">
        <f>IF(AND(B58=2, COUNTIFS($A$2:A58, A58, $B$2:B58, 2)=1), 1, 0)</f>
        <v>0</v>
      </c>
    </row>
    <row r="59" spans="1:9">
      <c r="A59" s="22">
        <v>77010000004</v>
      </c>
      <c r="B59" s="22">
        <v>1</v>
      </c>
      <c r="C59" s="23" t="s">
        <v>0</v>
      </c>
      <c r="D59" s="22">
        <v>1.7</v>
      </c>
      <c r="E59" s="39">
        <v>4</v>
      </c>
      <c r="F59">
        <f>IF(COUNTIF($A$2:A59, A59)=1, 1, 0)</f>
        <v>0</v>
      </c>
      <c r="G59">
        <f>IF(AND(C59="Внутри сети", COUNTIFS($A$2:A59, A59, $C$2:C59, "Внутри сети")=1), 1, 0)</f>
        <v>0</v>
      </c>
      <c r="H59">
        <f>IF(AND(B59=6, COUNTIFS($A$2:A59, A59, $B$2:B59, 6)=1), 1, 0)</f>
        <v>0</v>
      </c>
      <c r="I59">
        <f>IF(AND(B59=2, COUNTIFS($A$2:A59, A59, $B$2:B59, 2)=1), 1, 0)</f>
        <v>0</v>
      </c>
    </row>
    <row r="60" spans="1:9">
      <c r="A60" s="22">
        <v>77010000005</v>
      </c>
      <c r="B60" s="22">
        <v>1</v>
      </c>
      <c r="C60" s="23" t="s">
        <v>0</v>
      </c>
      <c r="D60" s="22">
        <v>1.7</v>
      </c>
      <c r="E60" s="39">
        <v>4</v>
      </c>
      <c r="F60">
        <f>IF(COUNTIF($A$2:A60, A60)=1, 1, 0)</f>
        <v>0</v>
      </c>
      <c r="G60">
        <f>IF(AND(C60="Внутри сети", COUNTIFS($A$2:A60, A60, $C$2:C60, "Внутри сети")=1), 1, 0)</f>
        <v>0</v>
      </c>
      <c r="H60">
        <f>IF(AND(B60=6, COUNTIFS($A$2:A60, A60, $B$2:B60, 6)=1), 1, 0)</f>
        <v>0</v>
      </c>
      <c r="I60">
        <f>IF(AND(B60=2, COUNTIFS($A$2:A60, A60, $B$2:B60, 2)=1), 1, 0)</f>
        <v>0</v>
      </c>
    </row>
    <row r="61" spans="1:9">
      <c r="A61" s="22">
        <v>77010000007</v>
      </c>
      <c r="B61" s="22">
        <v>1</v>
      </c>
      <c r="C61" s="23" t="s">
        <v>0</v>
      </c>
      <c r="D61" s="22">
        <v>1.7</v>
      </c>
      <c r="E61" s="39">
        <v>4</v>
      </c>
      <c r="F61">
        <f>IF(COUNTIF($A$2:A61, A61)=1, 1, 0)</f>
        <v>1</v>
      </c>
      <c r="G61">
        <f>IF(AND(C61="Внутри сети", COUNTIFS($A$2:A61, A61, $C$2:C61, "Внутри сети")=1), 1, 0)</f>
        <v>1</v>
      </c>
      <c r="H61">
        <f>IF(AND(B61=6, COUNTIFS($A$2:A61, A61, $B$2:B61, 6)=1), 1, 0)</f>
        <v>0</v>
      </c>
      <c r="I61">
        <f>IF(AND(B61=2, COUNTIFS($A$2:A61, A61, $B$2:B61, 2)=1), 1, 0)</f>
        <v>0</v>
      </c>
    </row>
    <row r="62" spans="1:9">
      <c r="A62" s="22">
        <v>77010000052</v>
      </c>
      <c r="B62" s="22">
        <v>1</v>
      </c>
      <c r="C62" s="23" t="s">
        <v>0</v>
      </c>
      <c r="D62" s="22">
        <v>1.7</v>
      </c>
      <c r="E62" s="39">
        <v>4</v>
      </c>
      <c r="F62">
        <f>IF(COUNTIF($A$2:A62, A62)=1, 1, 0)</f>
        <v>0</v>
      </c>
      <c r="G62">
        <f>IF(AND(C62="Внутри сети", COUNTIFS($A$2:A62, A62, $C$2:C62, "Внутри сети")=1), 1, 0)</f>
        <v>0</v>
      </c>
      <c r="H62">
        <f>IF(AND(B62=6, COUNTIFS($A$2:A62, A62, $B$2:B62, 6)=1), 1, 0)</f>
        <v>0</v>
      </c>
      <c r="I62">
        <f>IF(AND(B62=2, COUNTIFS($A$2:A62, A62, $B$2:B62, 2)=1), 1, 0)</f>
        <v>0</v>
      </c>
    </row>
    <row r="63" spans="1:9">
      <c r="A63" s="22">
        <v>77010000062</v>
      </c>
      <c r="B63" s="22">
        <v>1</v>
      </c>
      <c r="C63" s="23" t="s">
        <v>1</v>
      </c>
      <c r="D63" s="22">
        <v>7.43</v>
      </c>
      <c r="E63" s="39">
        <v>5</v>
      </c>
      <c r="F63">
        <f>IF(COUNTIF($A$2:A63, A63)=1, 1, 0)</f>
        <v>0</v>
      </c>
      <c r="G63">
        <f>IF(AND(C63="Внутри сети", COUNTIFS($A$2:A63, A63, $C$2:C63, "Внутри сети")=1), 1, 0)</f>
        <v>0</v>
      </c>
      <c r="H63">
        <f>IF(AND(B63=6, COUNTIFS($A$2:A63, A63, $B$2:B63, 6)=1), 1, 0)</f>
        <v>0</v>
      </c>
      <c r="I63">
        <f>IF(AND(B63=2, COUNTIFS($A$2:A63, A63, $B$2:B63, 2)=1), 1, 0)</f>
        <v>0</v>
      </c>
    </row>
    <row r="64" spans="1:9">
      <c r="A64" s="22">
        <v>77010000048</v>
      </c>
      <c r="B64" s="22">
        <v>1</v>
      </c>
      <c r="C64" s="23" t="s">
        <v>0</v>
      </c>
      <c r="D64" s="22">
        <v>2.13</v>
      </c>
      <c r="E64" s="39">
        <v>5</v>
      </c>
      <c r="F64">
        <f>IF(COUNTIF($A$2:A64, A64)=1, 1, 0)</f>
        <v>0</v>
      </c>
      <c r="G64">
        <f>IF(AND(C64="Внутри сети", COUNTIFS($A$2:A64, A64, $C$2:C64, "Внутри сети")=1), 1, 0)</f>
        <v>0</v>
      </c>
      <c r="H64">
        <f>IF(AND(B64=6, COUNTIFS($A$2:A64, A64, $B$2:B64, 6)=1), 1, 0)</f>
        <v>0</v>
      </c>
      <c r="I64">
        <f>IF(AND(B64=2, COUNTIFS($A$2:A64, A64, $B$2:B64, 2)=1), 1, 0)</f>
        <v>0</v>
      </c>
    </row>
    <row r="65" spans="1:9">
      <c r="A65" s="22">
        <v>77010000067</v>
      </c>
      <c r="B65" s="22">
        <v>1</v>
      </c>
      <c r="C65" s="23" t="s">
        <v>0</v>
      </c>
      <c r="D65" s="22">
        <v>2.13</v>
      </c>
      <c r="E65" s="39">
        <v>5</v>
      </c>
      <c r="F65">
        <f>IF(COUNTIF($A$2:A65, A65)=1, 1, 0)</f>
        <v>0</v>
      </c>
      <c r="G65">
        <f>IF(AND(C65="Внутри сети", COUNTIFS($A$2:A65, A65, $C$2:C65, "Внутри сети")=1), 1, 0)</f>
        <v>0</v>
      </c>
      <c r="H65">
        <f>IF(AND(B65=6, COUNTIFS($A$2:A65, A65, $B$2:B65, 6)=1), 1, 0)</f>
        <v>0</v>
      </c>
      <c r="I65">
        <f>IF(AND(B65=2, COUNTIFS($A$2:A65, A65, $B$2:B65, 2)=1), 1, 0)</f>
        <v>0</v>
      </c>
    </row>
    <row r="66" spans="1:9">
      <c r="A66" s="22">
        <v>77010000089</v>
      </c>
      <c r="B66" s="22">
        <v>1</v>
      </c>
      <c r="C66" s="23" t="s">
        <v>0</v>
      </c>
      <c r="D66" s="22">
        <v>2.13</v>
      </c>
      <c r="E66" s="39">
        <v>5</v>
      </c>
      <c r="F66">
        <f>IF(COUNTIF($A$2:A66, A66)=1, 1, 0)</f>
        <v>1</v>
      </c>
      <c r="G66">
        <f>IF(AND(C66="Внутри сети", COUNTIFS($A$2:A66, A66, $C$2:C66, "Внутри сети")=1), 1, 0)</f>
        <v>1</v>
      </c>
      <c r="H66">
        <f>IF(AND(B66=6, COUNTIFS($A$2:A66, A66, $B$2:B66, 6)=1), 1, 0)</f>
        <v>0</v>
      </c>
      <c r="I66">
        <f>IF(AND(B66=2, COUNTIFS($A$2:A66, A66, $B$2:B66, 2)=1), 1, 0)</f>
        <v>0</v>
      </c>
    </row>
    <row r="67" spans="1:9">
      <c r="A67" s="22">
        <v>77010000093</v>
      </c>
      <c r="B67" s="22">
        <v>1</v>
      </c>
      <c r="C67" s="23" t="s">
        <v>0</v>
      </c>
      <c r="D67" s="22">
        <v>2.13</v>
      </c>
      <c r="E67" s="39">
        <v>5</v>
      </c>
      <c r="F67">
        <f>IF(COUNTIF($A$2:A67, A67)=1, 1, 0)</f>
        <v>1</v>
      </c>
      <c r="G67">
        <f>IF(AND(C67="Внутри сети", COUNTIFS($A$2:A67, A67, $C$2:C67, "Внутри сети")=1), 1, 0)</f>
        <v>1</v>
      </c>
      <c r="H67">
        <f>IF(AND(B67=6, COUNTIFS($A$2:A67, A67, $B$2:B67, 6)=1), 1, 0)</f>
        <v>0</v>
      </c>
      <c r="I67">
        <f>IF(AND(B67=2, COUNTIFS($A$2:A67, A67, $B$2:B67, 2)=1), 1, 0)</f>
        <v>0</v>
      </c>
    </row>
    <row r="68" spans="1:9">
      <c r="A68" s="22">
        <v>77010000018</v>
      </c>
      <c r="B68" s="22">
        <v>1</v>
      </c>
      <c r="C68" s="23" t="s">
        <v>0</v>
      </c>
      <c r="D68" s="22">
        <v>2.13</v>
      </c>
      <c r="E68" s="39">
        <v>5</v>
      </c>
      <c r="F68">
        <f>IF(COUNTIF($A$2:A68, A68)=1, 1, 0)</f>
        <v>1</v>
      </c>
      <c r="G68">
        <f>IF(AND(C68="Внутри сети", COUNTIFS($A$2:A68, A68, $C$2:C68, "Внутри сети")=1), 1, 0)</f>
        <v>1</v>
      </c>
      <c r="H68">
        <f>IF(AND(B68=6, COUNTIFS($A$2:A68, A68, $B$2:B68, 6)=1), 1, 0)</f>
        <v>0</v>
      </c>
      <c r="I68">
        <f>IF(AND(B68=2, COUNTIFS($A$2:A68, A68, $B$2:B68, 2)=1), 1, 0)</f>
        <v>0</v>
      </c>
    </row>
    <row r="69" spans="1:9">
      <c r="A69" s="22">
        <v>77010000048</v>
      </c>
      <c r="B69" s="22">
        <v>1</v>
      </c>
      <c r="C69" s="23" t="s">
        <v>0</v>
      </c>
      <c r="D69" s="22">
        <v>2.13</v>
      </c>
      <c r="E69" s="39">
        <v>5</v>
      </c>
      <c r="F69">
        <f>IF(COUNTIF($A$2:A69, A69)=1, 1, 0)</f>
        <v>0</v>
      </c>
      <c r="G69">
        <f>IF(AND(C69="Внутри сети", COUNTIFS($A$2:A69, A69, $C$2:C69, "Внутри сети")=1), 1, 0)</f>
        <v>0</v>
      </c>
      <c r="H69">
        <f>IF(AND(B69=6, COUNTIFS($A$2:A69, A69, $B$2:B69, 6)=1), 1, 0)</f>
        <v>0</v>
      </c>
      <c r="I69">
        <f>IF(AND(B69=2, COUNTIFS($A$2:A69, A69, $B$2:B69, 2)=1), 1, 0)</f>
        <v>0</v>
      </c>
    </row>
    <row r="70" spans="1:9">
      <c r="A70" s="22">
        <v>77010000073</v>
      </c>
      <c r="B70" s="22">
        <v>1</v>
      </c>
      <c r="C70" s="23" t="s">
        <v>2</v>
      </c>
      <c r="D70" s="22">
        <v>7.43</v>
      </c>
      <c r="E70" s="39">
        <v>5</v>
      </c>
      <c r="F70">
        <f>IF(COUNTIF($A$2:A70, A70)=1, 1, 0)</f>
        <v>1</v>
      </c>
      <c r="G70">
        <f>IF(AND(C70="Внутри сети", COUNTIFS($A$2:A70, A70, $C$2:C70, "Внутри сети")=1), 1, 0)</f>
        <v>0</v>
      </c>
      <c r="H70">
        <f>IF(AND(B70=6, COUNTIFS($A$2:A70, A70, $B$2:B70, 6)=1), 1, 0)</f>
        <v>0</v>
      </c>
      <c r="I70">
        <f>IF(AND(B70=2, COUNTIFS($A$2:A70, A70, $B$2:B70, 2)=1), 1, 0)</f>
        <v>0</v>
      </c>
    </row>
    <row r="71" spans="1:9">
      <c r="A71" s="22">
        <v>77010000056</v>
      </c>
      <c r="B71" s="22">
        <v>1</v>
      </c>
      <c r="C71" s="23" t="s">
        <v>1</v>
      </c>
      <c r="D71" s="22">
        <v>7.43</v>
      </c>
      <c r="E71" s="39">
        <v>6</v>
      </c>
      <c r="F71">
        <f>IF(COUNTIF($A$2:A71, A71)=1, 1, 0)</f>
        <v>0</v>
      </c>
      <c r="G71">
        <f>IF(AND(C71="Внутри сети", COUNTIFS($A$2:A71, A71, $C$2:C71, "Внутри сети")=1), 1, 0)</f>
        <v>0</v>
      </c>
      <c r="H71">
        <f>IF(AND(B71=6, COUNTIFS($A$2:A71, A71, $B$2:B71, 6)=1), 1, 0)</f>
        <v>0</v>
      </c>
      <c r="I71">
        <f>IF(AND(B71=2, COUNTIFS($A$2:A71, A71, $B$2:B71, 2)=1), 1, 0)</f>
        <v>0</v>
      </c>
    </row>
    <row r="72" spans="1:9">
      <c r="A72" s="22">
        <v>77010000057</v>
      </c>
      <c r="B72" s="22">
        <v>1</v>
      </c>
      <c r="C72" s="23" t="s">
        <v>0</v>
      </c>
      <c r="D72" s="22">
        <v>2.56</v>
      </c>
      <c r="E72" s="39">
        <v>6</v>
      </c>
      <c r="F72">
        <f>IF(COUNTIF($A$2:A72, A72)=1, 1, 0)</f>
        <v>0</v>
      </c>
      <c r="G72">
        <f>IF(AND(C72="Внутри сети", COUNTIFS($A$2:A72, A72, $C$2:C72, "Внутри сети")=1), 1, 0)</f>
        <v>0</v>
      </c>
      <c r="H72">
        <f>IF(AND(B72=6, COUNTIFS($A$2:A72, A72, $B$2:B72, 6)=1), 1, 0)</f>
        <v>0</v>
      </c>
      <c r="I72">
        <f>IF(AND(B72=2, COUNTIFS($A$2:A72, A72, $B$2:B72, 2)=1), 1, 0)</f>
        <v>0</v>
      </c>
    </row>
    <row r="73" spans="1:9">
      <c r="A73" s="22">
        <v>77010000046</v>
      </c>
      <c r="B73" s="22">
        <v>1</v>
      </c>
      <c r="C73" s="23" t="s">
        <v>0</v>
      </c>
      <c r="D73" s="22">
        <v>2.56</v>
      </c>
      <c r="E73" s="39">
        <v>6</v>
      </c>
      <c r="F73">
        <f>IF(COUNTIF($A$2:A73, A73)=1, 1, 0)</f>
        <v>0</v>
      </c>
      <c r="G73">
        <f>IF(AND(C73="Внутри сети", COUNTIFS($A$2:A73, A73, $C$2:C73, "Внутри сети")=1), 1, 0)</f>
        <v>0</v>
      </c>
      <c r="H73">
        <f>IF(AND(B73=6, COUNTIFS($A$2:A73, A73, $B$2:B73, 6)=1), 1, 0)</f>
        <v>0</v>
      </c>
      <c r="I73">
        <f>IF(AND(B73=2, COUNTIFS($A$2:A73, A73, $B$2:B73, 2)=1), 1, 0)</f>
        <v>0</v>
      </c>
    </row>
    <row r="74" spans="1:9">
      <c r="A74" s="22">
        <v>77010000053</v>
      </c>
      <c r="B74" s="22">
        <v>1</v>
      </c>
      <c r="C74" s="23" t="s">
        <v>3</v>
      </c>
      <c r="D74" s="22">
        <v>24.5</v>
      </c>
      <c r="E74" s="39">
        <v>6</v>
      </c>
      <c r="F74">
        <f>IF(COUNTIF($A$2:A74, A74)=1, 1, 0)</f>
        <v>1</v>
      </c>
      <c r="G74">
        <f>IF(AND(C74="Внутри сети", COUNTIFS($A$2:A74, A74, $C$2:C74, "Внутри сети")=1), 1, 0)</f>
        <v>0</v>
      </c>
      <c r="H74">
        <f>IF(AND(B74=6, COUNTIFS($A$2:A74, A74, $B$2:B74, 6)=1), 1, 0)</f>
        <v>0</v>
      </c>
      <c r="I74">
        <f>IF(AND(B74=2, COUNTIFS($A$2:A74, A74, $B$2:B74, 2)=1), 1, 0)</f>
        <v>0</v>
      </c>
    </row>
    <row r="75" spans="1:9">
      <c r="A75" s="22">
        <v>77010000093</v>
      </c>
      <c r="B75" s="22">
        <v>1</v>
      </c>
      <c r="C75" s="23" t="s">
        <v>0</v>
      </c>
      <c r="D75" s="22">
        <v>2.56</v>
      </c>
      <c r="E75" s="39">
        <v>6</v>
      </c>
      <c r="F75">
        <f>IF(COUNTIF($A$2:A75, A75)=1, 1, 0)</f>
        <v>0</v>
      </c>
      <c r="G75">
        <f>IF(AND(C75="Внутри сети", COUNTIFS($A$2:A75, A75, $C$2:C75, "Внутри сети")=1), 1, 0)</f>
        <v>0</v>
      </c>
      <c r="H75">
        <f>IF(AND(B75=6, COUNTIFS($A$2:A75, A75, $B$2:B75, 6)=1), 1, 0)</f>
        <v>0</v>
      </c>
      <c r="I75">
        <f>IF(AND(B75=2, COUNTIFS($A$2:A75, A75, $B$2:B75, 2)=1), 1, 0)</f>
        <v>0</v>
      </c>
    </row>
    <row r="76" spans="1:9">
      <c r="A76" s="22">
        <v>77010000085</v>
      </c>
      <c r="B76" s="22">
        <v>1</v>
      </c>
      <c r="C76" s="23" t="s">
        <v>0</v>
      </c>
      <c r="D76" s="22">
        <v>0.83</v>
      </c>
      <c r="E76" s="39">
        <v>6</v>
      </c>
      <c r="F76">
        <f>IF(COUNTIF($A$2:A76, A76)=1, 1, 0)</f>
        <v>1</v>
      </c>
      <c r="G76">
        <f>IF(AND(C76="Внутри сети", COUNTIFS($A$2:A76, A76, $C$2:C76, "Внутри сети")=1), 1, 0)</f>
        <v>1</v>
      </c>
      <c r="H76">
        <f>IF(AND(B76=6, COUNTIFS($A$2:A76, A76, $B$2:B76, 6)=1), 1, 0)</f>
        <v>0</v>
      </c>
      <c r="I76">
        <f>IF(AND(B76=2, COUNTIFS($A$2:A76, A76, $B$2:B76, 2)=1), 1, 0)</f>
        <v>0</v>
      </c>
    </row>
    <row r="77" spans="1:9">
      <c r="A77" s="22">
        <v>77010000033</v>
      </c>
      <c r="B77" s="22">
        <v>1</v>
      </c>
      <c r="C77" s="23" t="s">
        <v>0</v>
      </c>
      <c r="D77" s="22">
        <v>2.56</v>
      </c>
      <c r="E77" s="39">
        <v>6</v>
      </c>
      <c r="F77">
        <f>IF(COUNTIF($A$2:A77, A77)=1, 1, 0)</f>
        <v>1</v>
      </c>
      <c r="G77">
        <f>IF(AND(C77="Внутри сети", COUNTIFS($A$2:A77, A77, $C$2:C77, "Внутри сети")=1), 1, 0)</f>
        <v>1</v>
      </c>
      <c r="H77">
        <f>IF(AND(B77=6, COUNTIFS($A$2:A77, A77, $B$2:B77, 6)=1), 1, 0)</f>
        <v>0</v>
      </c>
      <c r="I77">
        <f>IF(AND(B77=2, COUNTIFS($A$2:A77, A77, $B$2:B77, 2)=1), 1, 0)</f>
        <v>0</v>
      </c>
    </row>
    <row r="78" spans="1:9">
      <c r="A78" s="22">
        <v>77010000049</v>
      </c>
      <c r="B78" s="22">
        <v>1</v>
      </c>
      <c r="C78" s="23" t="s">
        <v>0</v>
      </c>
      <c r="D78" s="22">
        <v>2.98</v>
      </c>
      <c r="E78" s="39">
        <v>7</v>
      </c>
      <c r="F78">
        <f>IF(COUNTIF($A$2:A78, A78)=1, 1, 0)</f>
        <v>0</v>
      </c>
      <c r="G78">
        <f>IF(AND(C78="Внутри сети", COUNTIFS($A$2:A78, A78, $C$2:C78, "Внутри сети")=1), 1, 0)</f>
        <v>0</v>
      </c>
      <c r="H78">
        <f>IF(AND(B78=6, COUNTIFS($A$2:A78, A78, $B$2:B78, 6)=1), 1, 0)</f>
        <v>0</v>
      </c>
      <c r="I78">
        <f>IF(AND(B78=2, COUNTIFS($A$2:A78, A78, $B$2:B78, 2)=1), 1, 0)</f>
        <v>0</v>
      </c>
    </row>
    <row r="79" spans="1:9">
      <c r="A79" s="22">
        <v>77010000073</v>
      </c>
      <c r="B79" s="22">
        <v>1</v>
      </c>
      <c r="C79" s="23" t="s">
        <v>0</v>
      </c>
      <c r="D79" s="22">
        <v>2.98</v>
      </c>
      <c r="E79" s="39">
        <v>7</v>
      </c>
      <c r="F79">
        <f>IF(COUNTIF($A$2:A79, A79)=1, 1, 0)</f>
        <v>0</v>
      </c>
      <c r="G79">
        <f>IF(AND(C79="Внутри сети", COUNTIFS($A$2:A79, A79, $C$2:C79, "Внутри сети")=1), 1, 0)</f>
        <v>1</v>
      </c>
      <c r="H79">
        <f>IF(AND(B79=6, COUNTIFS($A$2:A79, A79, $B$2:B79, 6)=1), 1, 0)</f>
        <v>0</v>
      </c>
      <c r="I79">
        <f>IF(AND(B79=2, COUNTIFS($A$2:A79, A79, $B$2:B79, 2)=1), 1, 0)</f>
        <v>0</v>
      </c>
    </row>
    <row r="80" spans="1:9">
      <c r="A80" s="22">
        <v>77010000014</v>
      </c>
      <c r="B80" s="22">
        <v>1</v>
      </c>
      <c r="C80" s="23" t="s">
        <v>0</v>
      </c>
      <c r="D80" s="22">
        <v>2.98</v>
      </c>
      <c r="E80" s="39">
        <v>7</v>
      </c>
      <c r="F80">
        <f>IF(COUNTIF($A$2:A80, A80)=1, 1, 0)</f>
        <v>0</v>
      </c>
      <c r="G80">
        <f>IF(AND(C80="Внутри сети", COUNTIFS($A$2:A80, A80, $C$2:C80, "Внутри сети")=1), 1, 0)</f>
        <v>0</v>
      </c>
      <c r="H80">
        <f>IF(AND(B80=6, COUNTIFS($A$2:A80, A80, $B$2:B80, 6)=1), 1, 0)</f>
        <v>0</v>
      </c>
      <c r="I80">
        <f>IF(AND(B80=2, COUNTIFS($A$2:A80, A80, $B$2:B80, 2)=1), 1, 0)</f>
        <v>0</v>
      </c>
    </row>
    <row r="81" spans="1:9">
      <c r="A81" s="22">
        <v>77010000006</v>
      </c>
      <c r="B81" s="22">
        <v>1</v>
      </c>
      <c r="C81" s="23" t="s">
        <v>0</v>
      </c>
      <c r="D81" s="22">
        <v>0</v>
      </c>
      <c r="E81" s="39">
        <v>7</v>
      </c>
      <c r="F81">
        <f>IF(COUNTIF($A$2:A81, A81)=1, 1, 0)</f>
        <v>0</v>
      </c>
      <c r="G81">
        <f>IF(AND(C81="Внутри сети", COUNTIFS($A$2:A81, A81, $C$2:C81, "Внутри сети")=1), 1, 0)</f>
        <v>0</v>
      </c>
      <c r="H81">
        <f>IF(AND(B81=6, COUNTIFS($A$2:A81, A81, $B$2:B81, 6)=1), 1, 0)</f>
        <v>0</v>
      </c>
      <c r="I81">
        <f>IF(AND(B81=2, COUNTIFS($A$2:A81, A81, $B$2:B81, 2)=1), 1, 0)</f>
        <v>0</v>
      </c>
    </row>
    <row r="82" spans="1:9">
      <c r="A82" s="22">
        <v>77010000031</v>
      </c>
      <c r="B82" s="22">
        <v>1</v>
      </c>
      <c r="C82" s="23" t="s">
        <v>0</v>
      </c>
      <c r="D82" s="22">
        <v>2.98</v>
      </c>
      <c r="E82" s="39">
        <v>7</v>
      </c>
      <c r="F82">
        <f>IF(COUNTIF($A$2:A82, A82)=1, 1, 0)</f>
        <v>1</v>
      </c>
      <c r="G82">
        <f>IF(AND(C82="Внутри сети", COUNTIFS($A$2:A82, A82, $C$2:C82, "Внутри сети")=1), 1, 0)</f>
        <v>1</v>
      </c>
      <c r="H82">
        <f>IF(AND(B82=6, COUNTIFS($A$2:A82, A82, $B$2:B82, 6)=1), 1, 0)</f>
        <v>0</v>
      </c>
      <c r="I82">
        <f>IF(AND(B82=2, COUNTIFS($A$2:A82, A82, $B$2:B82, 2)=1), 1, 0)</f>
        <v>0</v>
      </c>
    </row>
    <row r="83" spans="1:9">
      <c r="A83" s="22">
        <v>77010000042</v>
      </c>
      <c r="B83" s="22">
        <v>1</v>
      </c>
      <c r="C83" s="23" t="s">
        <v>0</v>
      </c>
      <c r="D83" s="22">
        <v>2.98</v>
      </c>
      <c r="E83" s="39">
        <v>7</v>
      </c>
      <c r="F83">
        <f>IF(COUNTIF($A$2:A83, A83)=1, 1, 0)</f>
        <v>0</v>
      </c>
      <c r="G83">
        <f>IF(AND(C83="Внутри сети", COUNTIFS($A$2:A83, A83, $C$2:C83, "Внутри сети")=1), 1, 0)</f>
        <v>1</v>
      </c>
      <c r="H83">
        <f>IF(AND(B83=6, COUNTIFS($A$2:A83, A83, $B$2:B83, 6)=1), 1, 0)</f>
        <v>0</v>
      </c>
      <c r="I83">
        <f>IF(AND(B83=2, COUNTIFS($A$2:A83, A83, $B$2:B83, 2)=1), 1, 0)</f>
        <v>0</v>
      </c>
    </row>
    <row r="84" spans="1:9">
      <c r="A84" s="22">
        <v>77010000079</v>
      </c>
      <c r="B84" s="22">
        <v>1</v>
      </c>
      <c r="C84" s="23" t="s">
        <v>0</v>
      </c>
      <c r="D84" s="22">
        <v>2.98</v>
      </c>
      <c r="E84" s="39">
        <v>7</v>
      </c>
      <c r="F84">
        <f>IF(COUNTIF($A$2:A84, A84)=1, 1, 0)</f>
        <v>0</v>
      </c>
      <c r="G84">
        <f>IF(AND(C84="Внутри сети", COUNTIFS($A$2:A84, A84, $C$2:C84, "Внутри сети")=1), 1, 0)</f>
        <v>0</v>
      </c>
      <c r="H84">
        <f>IF(AND(B84=6, COUNTIFS($A$2:A84, A84, $B$2:B84, 6)=1), 1, 0)</f>
        <v>0</v>
      </c>
      <c r="I84">
        <f>IF(AND(B84=2, COUNTIFS($A$2:A84, A84, $B$2:B84, 2)=1), 1, 0)</f>
        <v>0</v>
      </c>
    </row>
    <row r="85" spans="1:9">
      <c r="A85" s="22">
        <v>77010000007</v>
      </c>
      <c r="B85" s="22">
        <v>1</v>
      </c>
      <c r="C85" s="23" t="s">
        <v>0</v>
      </c>
      <c r="D85" s="22">
        <v>3.41</v>
      </c>
      <c r="E85" s="39">
        <v>8</v>
      </c>
      <c r="F85">
        <f>IF(COUNTIF($A$2:A85, A85)=1, 1, 0)</f>
        <v>0</v>
      </c>
      <c r="G85">
        <f>IF(AND(C85="Внутри сети", COUNTIFS($A$2:A85, A85, $C$2:C85, "Внутри сети")=1), 1, 0)</f>
        <v>0</v>
      </c>
      <c r="H85">
        <f>IF(AND(B85=6, COUNTIFS($A$2:A85, A85, $B$2:B85, 6)=1), 1, 0)</f>
        <v>0</v>
      </c>
      <c r="I85">
        <f>IF(AND(B85=2, COUNTIFS($A$2:A85, A85, $B$2:B85, 2)=1), 1, 0)</f>
        <v>0</v>
      </c>
    </row>
    <row r="86" spans="1:9">
      <c r="A86" s="22">
        <v>77010000050</v>
      </c>
      <c r="B86" s="22">
        <v>1</v>
      </c>
      <c r="C86" s="23" t="s">
        <v>0</v>
      </c>
      <c r="D86" s="22">
        <v>3.41</v>
      </c>
      <c r="E86" s="39">
        <v>8</v>
      </c>
      <c r="F86">
        <f>IF(COUNTIF($A$2:A86, A86)=1, 1, 0)</f>
        <v>1</v>
      </c>
      <c r="G86">
        <f>IF(AND(C86="Внутри сети", COUNTIFS($A$2:A86, A86, $C$2:C86, "Внутри сети")=1), 1, 0)</f>
        <v>1</v>
      </c>
      <c r="H86">
        <f>IF(AND(B86=6, COUNTIFS($A$2:A86, A86, $B$2:B86, 6)=1), 1, 0)</f>
        <v>0</v>
      </c>
      <c r="I86">
        <f>IF(AND(B86=2, COUNTIFS($A$2:A86, A86, $B$2:B86, 2)=1), 1, 0)</f>
        <v>0</v>
      </c>
    </row>
    <row r="87" spans="1:9">
      <c r="A87" s="22">
        <v>77010000054</v>
      </c>
      <c r="B87" s="22">
        <v>1</v>
      </c>
      <c r="C87" s="23" t="s">
        <v>1</v>
      </c>
      <c r="D87" s="22">
        <v>7.43</v>
      </c>
      <c r="E87" s="39">
        <v>8</v>
      </c>
      <c r="F87">
        <f>IF(COUNTIF($A$2:A87, A87)=1, 1, 0)</f>
        <v>0</v>
      </c>
      <c r="G87">
        <f>IF(AND(C87="Внутри сети", COUNTIFS($A$2:A87, A87, $C$2:C87, "Внутри сети")=1), 1, 0)</f>
        <v>0</v>
      </c>
      <c r="H87">
        <f>IF(AND(B87=6, COUNTIFS($A$2:A87, A87, $B$2:B87, 6)=1), 1, 0)</f>
        <v>0</v>
      </c>
      <c r="I87">
        <f>IF(AND(B87=2, COUNTIFS($A$2:A87, A87, $B$2:B87, 2)=1), 1, 0)</f>
        <v>0</v>
      </c>
    </row>
    <row r="88" spans="1:9">
      <c r="A88" s="44">
        <v>77010000055</v>
      </c>
      <c r="B88" s="22">
        <v>1</v>
      </c>
      <c r="C88" s="23" t="s">
        <v>0</v>
      </c>
      <c r="D88" s="22">
        <v>3.41</v>
      </c>
      <c r="E88" s="39">
        <v>8</v>
      </c>
      <c r="F88">
        <f>IF(COUNTIF($A$2:A88, A88)=1, 1, 0)</f>
        <v>1</v>
      </c>
      <c r="G88">
        <f>IF(AND(C88="Внутри сети", COUNTIFS($A$2:A88, A88, $C$2:C88, "Внутри сети")=1), 1, 0)</f>
        <v>1</v>
      </c>
      <c r="H88">
        <f>IF(AND(B88=6, COUNTIFS($A$2:A88, A88, $B$2:B88, 6)=1), 1, 0)</f>
        <v>0</v>
      </c>
      <c r="I88">
        <f>IF(AND(B88=2, COUNTIFS($A$2:A88, A88, $B$2:B88, 2)=1), 1, 0)</f>
        <v>0</v>
      </c>
    </row>
    <row r="89" spans="1:9">
      <c r="A89" s="22">
        <v>77010000057</v>
      </c>
      <c r="B89" s="22">
        <v>1</v>
      </c>
      <c r="C89" s="23" t="s">
        <v>0</v>
      </c>
      <c r="D89" s="22">
        <v>3.41</v>
      </c>
      <c r="E89" s="39">
        <v>8</v>
      </c>
      <c r="F89">
        <f>IF(COUNTIF($A$2:A89, A89)=1, 1, 0)</f>
        <v>0</v>
      </c>
      <c r="G89">
        <f>IF(AND(C89="Внутри сети", COUNTIFS($A$2:A89, A89, $C$2:C89, "Внутри сети")=1), 1, 0)</f>
        <v>0</v>
      </c>
      <c r="H89">
        <f>IF(AND(B89=6, COUNTIFS($A$2:A89, A89, $B$2:B89, 6)=1), 1, 0)</f>
        <v>0</v>
      </c>
      <c r="I89">
        <f>IF(AND(B89=2, COUNTIFS($A$2:A89, A89, $B$2:B89, 2)=1), 1, 0)</f>
        <v>0</v>
      </c>
    </row>
    <row r="90" spans="1:9">
      <c r="A90" s="22">
        <v>77010000060</v>
      </c>
      <c r="B90" s="22">
        <v>1</v>
      </c>
      <c r="C90" s="23" t="s">
        <v>0</v>
      </c>
      <c r="D90" s="22">
        <v>3.41</v>
      </c>
      <c r="E90" s="39">
        <v>8</v>
      </c>
      <c r="F90">
        <f>IF(COUNTIF($A$2:A90, A90)=1, 1, 0)</f>
        <v>0</v>
      </c>
      <c r="G90">
        <f>IF(AND(C90="Внутри сети", COUNTIFS($A$2:A90, A90, $C$2:C90, "Внутри сети")=1), 1, 0)</f>
        <v>0</v>
      </c>
      <c r="H90">
        <f>IF(AND(B90=6, COUNTIFS($A$2:A90, A90, $B$2:B90, 6)=1), 1, 0)</f>
        <v>0</v>
      </c>
      <c r="I90">
        <f>IF(AND(B90=2, COUNTIFS($A$2:A90, A90, $B$2:B90, 2)=1), 1, 0)</f>
        <v>0</v>
      </c>
    </row>
    <row r="91" spans="1:9">
      <c r="A91" s="22">
        <v>77010000058</v>
      </c>
      <c r="B91" s="22">
        <v>1</v>
      </c>
      <c r="C91" s="23" t="s">
        <v>0</v>
      </c>
      <c r="D91" s="22">
        <v>3.41</v>
      </c>
      <c r="E91" s="39">
        <v>8</v>
      </c>
      <c r="F91">
        <f>IF(COUNTIF($A$2:A91, A91)=1, 1, 0)</f>
        <v>0</v>
      </c>
      <c r="G91">
        <f>IF(AND(C91="Внутри сети", COUNTIFS($A$2:A91, A91, $C$2:C91, "Внутри сети")=1), 1, 0)</f>
        <v>0</v>
      </c>
      <c r="H91">
        <f>IF(AND(B91=6, COUNTIFS($A$2:A91, A91, $B$2:B91, 6)=1), 1, 0)</f>
        <v>0</v>
      </c>
      <c r="I91">
        <f>IF(AND(B91=2, COUNTIFS($A$2:A91, A91, $B$2:B91, 2)=1), 1, 0)</f>
        <v>0</v>
      </c>
    </row>
    <row r="92" spans="1:9">
      <c r="A92" s="22">
        <v>77010000090</v>
      </c>
      <c r="B92" s="22">
        <v>1</v>
      </c>
      <c r="C92" s="23" t="s">
        <v>0</v>
      </c>
      <c r="D92" s="22">
        <v>3.41</v>
      </c>
      <c r="E92" s="39">
        <v>8</v>
      </c>
      <c r="F92">
        <f>IF(COUNTIF($A$2:A92, A92)=1, 1, 0)</f>
        <v>1</v>
      </c>
      <c r="G92">
        <f>IF(AND(C92="Внутри сети", COUNTIFS($A$2:A92, A92, $C$2:C92, "Внутри сети")=1), 1, 0)</f>
        <v>1</v>
      </c>
      <c r="H92">
        <f>IF(AND(B92=6, COUNTIFS($A$2:A92, A92, $B$2:B92, 6)=1), 1, 0)</f>
        <v>0</v>
      </c>
      <c r="I92">
        <f>IF(AND(B92=2, COUNTIFS($A$2:A92, A92, $B$2:B92, 2)=1), 1, 0)</f>
        <v>0</v>
      </c>
    </row>
    <row r="93" spans="1:9">
      <c r="A93" s="22">
        <v>77010000076</v>
      </c>
      <c r="B93" s="22">
        <v>1</v>
      </c>
      <c r="C93" s="23" t="s">
        <v>0</v>
      </c>
      <c r="D93" s="22">
        <v>3.41</v>
      </c>
      <c r="E93" s="39">
        <v>8</v>
      </c>
      <c r="F93">
        <f>IF(COUNTIF($A$2:A93, A93)=1, 1, 0)</f>
        <v>1</v>
      </c>
      <c r="G93">
        <f>IF(AND(C93="Внутри сети", COUNTIFS($A$2:A93, A93, $C$2:C93, "Внутри сети")=1), 1, 0)</f>
        <v>1</v>
      </c>
      <c r="H93">
        <f>IF(AND(B93=6, COUNTIFS($A$2:A93, A93, $B$2:B93, 6)=1), 1, 0)</f>
        <v>0</v>
      </c>
      <c r="I93">
        <f>IF(AND(B93=2, COUNTIFS($A$2:A93, A93, $B$2:B93, 2)=1), 1, 0)</f>
        <v>0</v>
      </c>
    </row>
    <row r="94" spans="1:9">
      <c r="A94" s="22">
        <v>77010000035</v>
      </c>
      <c r="B94" s="22">
        <v>1</v>
      </c>
      <c r="C94" s="23" t="s">
        <v>0</v>
      </c>
      <c r="D94" s="22">
        <v>3.41</v>
      </c>
      <c r="E94" s="39">
        <v>8</v>
      </c>
      <c r="F94">
        <f>IF(COUNTIF($A$2:A94, A94)=1, 1, 0)</f>
        <v>1</v>
      </c>
      <c r="G94">
        <f>IF(AND(C94="Внутри сети", COUNTIFS($A$2:A94, A94, $C$2:C94, "Внутри сети")=1), 1, 0)</f>
        <v>1</v>
      </c>
      <c r="H94">
        <f>IF(AND(B94=6, COUNTIFS($A$2:A94, A94, $B$2:B94, 6)=1), 1, 0)</f>
        <v>0</v>
      </c>
      <c r="I94">
        <f>IF(AND(B94=2, COUNTIFS($A$2:A94, A94, $B$2:B94, 2)=1), 1, 0)</f>
        <v>0</v>
      </c>
    </row>
    <row r="95" spans="1:9">
      <c r="A95" s="22">
        <v>77010000023</v>
      </c>
      <c r="B95" s="22">
        <v>1</v>
      </c>
      <c r="C95" s="23" t="s">
        <v>0</v>
      </c>
      <c r="D95" s="22">
        <v>3.41</v>
      </c>
      <c r="E95" s="39">
        <v>8</v>
      </c>
      <c r="F95">
        <f>IF(COUNTIF($A$2:A95, A95)=1, 1, 0)</f>
        <v>1</v>
      </c>
      <c r="G95">
        <f>IF(AND(C95="Внутри сети", COUNTIFS($A$2:A95, A95, $C$2:C95, "Внутри сети")=1), 1, 0)</f>
        <v>1</v>
      </c>
      <c r="H95">
        <f>IF(AND(B95=6, COUNTIFS($A$2:A95, A95, $B$2:B95, 6)=1), 1, 0)</f>
        <v>0</v>
      </c>
      <c r="I95">
        <f>IF(AND(B95=2, COUNTIFS($A$2:A95, A95, $B$2:B95, 2)=1), 1, 0)</f>
        <v>0</v>
      </c>
    </row>
    <row r="96" spans="1:9">
      <c r="A96" s="22">
        <v>77010000039</v>
      </c>
      <c r="B96" s="22">
        <v>1</v>
      </c>
      <c r="C96" s="23" t="s">
        <v>0</v>
      </c>
      <c r="D96" s="22">
        <v>3.41</v>
      </c>
      <c r="E96" s="39">
        <v>8</v>
      </c>
      <c r="F96">
        <f>IF(COUNTIF($A$2:A96, A96)=1, 1, 0)</f>
        <v>1</v>
      </c>
      <c r="G96">
        <f>IF(AND(C96="Внутри сети", COUNTIFS($A$2:A96, A96, $C$2:C96, "Внутри сети")=1), 1, 0)</f>
        <v>1</v>
      </c>
      <c r="H96">
        <f>IF(AND(B96=6, COUNTIFS($A$2:A96, A96, $B$2:B96, 6)=1), 1, 0)</f>
        <v>0</v>
      </c>
      <c r="I96">
        <f>IF(AND(B96=2, COUNTIFS($A$2:A96, A96, $B$2:B96, 2)=1), 1, 0)</f>
        <v>0</v>
      </c>
    </row>
    <row r="97" spans="1:9">
      <c r="A97" s="22">
        <v>77010000058</v>
      </c>
      <c r="B97" s="22">
        <v>1</v>
      </c>
      <c r="C97" s="23" t="s">
        <v>2</v>
      </c>
      <c r="D97" s="22">
        <v>7.43</v>
      </c>
      <c r="E97" s="39">
        <v>9</v>
      </c>
      <c r="F97">
        <f>IF(COUNTIF($A$2:A97, A97)=1, 1, 0)</f>
        <v>0</v>
      </c>
      <c r="G97">
        <f>IF(AND(C97="Внутри сети", COUNTIFS($A$2:A97, A97, $C$2:C97, "Внутри сети")=1), 1, 0)</f>
        <v>0</v>
      </c>
      <c r="H97">
        <f>IF(AND(B97=6, COUNTIFS($A$2:A97, A97, $B$2:B97, 6)=1), 1, 0)</f>
        <v>0</v>
      </c>
      <c r="I97">
        <f>IF(AND(B97=2, COUNTIFS($A$2:A97, A97, $B$2:B97, 2)=1), 1, 0)</f>
        <v>0</v>
      </c>
    </row>
    <row r="98" spans="1:9">
      <c r="A98" s="22">
        <v>77010000061</v>
      </c>
      <c r="B98" s="22">
        <v>1</v>
      </c>
      <c r="C98" s="23" t="s">
        <v>0</v>
      </c>
      <c r="D98" s="22">
        <v>3.84</v>
      </c>
      <c r="E98" s="39">
        <v>9</v>
      </c>
      <c r="F98">
        <f>IF(COUNTIF($A$2:A98, A98)=1, 1, 0)</f>
        <v>0</v>
      </c>
      <c r="G98">
        <f>IF(AND(C98="Внутри сети", COUNTIFS($A$2:A98, A98, $C$2:C98, "Внутри сети")=1), 1, 0)</f>
        <v>0</v>
      </c>
      <c r="H98">
        <f>IF(AND(B98=6, COUNTIFS($A$2:A98, A98, $B$2:B98, 6)=1), 1, 0)</f>
        <v>0</v>
      </c>
      <c r="I98">
        <f>IF(AND(B98=2, COUNTIFS($A$2:A98, A98, $B$2:B98, 2)=1), 1, 0)</f>
        <v>0</v>
      </c>
    </row>
    <row r="99" spans="1:9">
      <c r="A99" s="22">
        <v>77010000069</v>
      </c>
      <c r="B99" s="22">
        <v>1</v>
      </c>
      <c r="C99" s="23" t="s">
        <v>0</v>
      </c>
      <c r="D99" s="22">
        <v>3.84</v>
      </c>
      <c r="E99" s="39">
        <v>9</v>
      </c>
      <c r="F99">
        <f>IF(COUNTIF($A$2:A99, A99)=1, 1, 0)</f>
        <v>1</v>
      </c>
      <c r="G99">
        <f>IF(AND(C99="Внутри сети", COUNTIFS($A$2:A99, A99, $C$2:C99, "Внутри сети")=1), 1, 0)</f>
        <v>1</v>
      </c>
      <c r="H99">
        <f>IF(AND(B99=6, COUNTIFS($A$2:A99, A99, $B$2:B99, 6)=1), 1, 0)</f>
        <v>0</v>
      </c>
      <c r="I99">
        <f>IF(AND(B99=2, COUNTIFS($A$2:A99, A99, $B$2:B99, 2)=1), 1, 0)</f>
        <v>0</v>
      </c>
    </row>
    <row r="100" spans="1:9">
      <c r="A100" s="22">
        <v>77010000067</v>
      </c>
      <c r="B100" s="22">
        <v>1</v>
      </c>
      <c r="C100" s="23" t="s">
        <v>3</v>
      </c>
      <c r="D100" s="22">
        <v>24.5</v>
      </c>
      <c r="E100" s="39">
        <v>9</v>
      </c>
      <c r="F100">
        <f>IF(COUNTIF($A$2:A100, A100)=1, 1, 0)</f>
        <v>0</v>
      </c>
      <c r="G100">
        <f>IF(AND(C100="Внутри сети", COUNTIFS($A$2:A100, A100, $C$2:C100, "Внутри сети")=1), 1, 0)</f>
        <v>0</v>
      </c>
      <c r="H100">
        <f>IF(AND(B100=6, COUNTIFS($A$2:A100, A100, $B$2:B100, 6)=1), 1, 0)</f>
        <v>0</v>
      </c>
      <c r="I100">
        <f>IF(AND(B100=2, COUNTIFS($A$2:A100, A100, $B$2:B100, 2)=1), 1, 0)</f>
        <v>0</v>
      </c>
    </row>
    <row r="101" spans="1:9">
      <c r="A101" s="22">
        <v>77010000040</v>
      </c>
      <c r="B101" s="22">
        <v>1</v>
      </c>
      <c r="C101" s="23" t="s">
        <v>0</v>
      </c>
      <c r="D101" s="22">
        <v>3.84</v>
      </c>
      <c r="E101" s="39">
        <v>9</v>
      </c>
      <c r="F101">
        <f>IF(COUNTIF($A$2:A101, A101)=1, 1, 0)</f>
        <v>0</v>
      </c>
      <c r="G101">
        <f>IF(AND(C101="Внутри сети", COUNTIFS($A$2:A101, A101, $C$2:C101, "Внутри сети")=1), 1, 0)</f>
        <v>0</v>
      </c>
      <c r="H101">
        <f>IF(AND(B101=6, COUNTIFS($A$2:A101, A101, $B$2:B101, 6)=1), 1, 0)</f>
        <v>0</v>
      </c>
      <c r="I101">
        <f>IF(AND(B101=2, COUNTIFS($A$2:A101, A101, $B$2:B101, 2)=1), 1, 0)</f>
        <v>0</v>
      </c>
    </row>
    <row r="102" spans="1:9">
      <c r="A102" s="22">
        <v>77010000047</v>
      </c>
      <c r="B102" s="22">
        <v>1</v>
      </c>
      <c r="C102" s="23" t="s">
        <v>0</v>
      </c>
      <c r="D102" s="22">
        <v>3.84</v>
      </c>
      <c r="E102" s="39">
        <v>9</v>
      </c>
      <c r="F102">
        <f>IF(COUNTIF($A$2:A102, A102)=1, 1, 0)</f>
        <v>1</v>
      </c>
      <c r="G102">
        <f>IF(AND(C102="Внутри сети", COUNTIFS($A$2:A102, A102, $C$2:C102, "Внутри сети")=1), 1, 0)</f>
        <v>1</v>
      </c>
      <c r="H102">
        <f>IF(AND(B102=6, COUNTIFS($A$2:A102, A102, $B$2:B102, 6)=1), 1, 0)</f>
        <v>0</v>
      </c>
      <c r="I102">
        <f>IF(AND(B102=2, COUNTIFS($A$2:A102, A102, $B$2:B102, 2)=1), 1, 0)</f>
        <v>0</v>
      </c>
    </row>
    <row r="103" spans="1:9">
      <c r="A103" s="22">
        <v>77010000050</v>
      </c>
      <c r="B103" s="22">
        <v>1</v>
      </c>
      <c r="C103" s="23" t="s">
        <v>0</v>
      </c>
      <c r="D103" s="22">
        <v>3.84</v>
      </c>
      <c r="E103" s="39">
        <v>9</v>
      </c>
      <c r="F103">
        <f>IF(COUNTIF($A$2:A103, A103)=1, 1, 0)</f>
        <v>0</v>
      </c>
      <c r="G103">
        <f>IF(AND(C103="Внутри сети", COUNTIFS($A$2:A103, A103, $C$2:C103, "Внутри сети")=1), 1, 0)</f>
        <v>0</v>
      </c>
      <c r="H103">
        <f>IF(AND(B103=6, COUNTIFS($A$2:A103, A103, $B$2:B103, 6)=1), 1, 0)</f>
        <v>0</v>
      </c>
      <c r="I103">
        <f>IF(AND(B103=2, COUNTIFS($A$2:A103, A103, $B$2:B103, 2)=1), 1, 0)</f>
        <v>0</v>
      </c>
    </row>
    <row r="104" spans="1:9">
      <c r="A104" s="22">
        <v>77010000009</v>
      </c>
      <c r="B104" s="22">
        <v>1</v>
      </c>
      <c r="C104" s="23" t="s">
        <v>0</v>
      </c>
      <c r="D104" s="22">
        <v>3.84</v>
      </c>
      <c r="E104" s="39">
        <v>9</v>
      </c>
      <c r="F104">
        <f>IF(COUNTIF($A$2:A104, A104)=1, 1, 0)</f>
        <v>0</v>
      </c>
      <c r="G104">
        <f>IF(AND(C104="Внутри сети", COUNTIFS($A$2:A104, A104, $C$2:C104, "Внутри сети")=1), 1, 0)</f>
        <v>0</v>
      </c>
      <c r="H104">
        <f>IF(AND(B104=6, COUNTIFS($A$2:A104, A104, $B$2:B104, 6)=1), 1, 0)</f>
        <v>0</v>
      </c>
      <c r="I104">
        <f>IF(AND(B104=2, COUNTIFS($A$2:A104, A104, $B$2:B104, 2)=1), 1, 0)</f>
        <v>0</v>
      </c>
    </row>
    <row r="105" spans="1:9">
      <c r="A105" s="22">
        <v>77010000017</v>
      </c>
      <c r="B105" s="22">
        <v>1</v>
      </c>
      <c r="C105" s="23" t="s">
        <v>3</v>
      </c>
      <c r="D105" s="22">
        <v>24.5</v>
      </c>
      <c r="E105" s="39">
        <v>9</v>
      </c>
      <c r="F105">
        <f>IF(COUNTIF($A$2:A105, A105)=1, 1, 0)</f>
        <v>0</v>
      </c>
      <c r="G105">
        <f>IF(AND(C105="Внутри сети", COUNTIFS($A$2:A105, A105, $C$2:C105, "Внутри сети")=1), 1, 0)</f>
        <v>0</v>
      </c>
      <c r="H105">
        <f>IF(AND(B105=6, COUNTIFS($A$2:A105, A105, $B$2:B105, 6)=1), 1, 0)</f>
        <v>0</v>
      </c>
      <c r="I105">
        <f>IF(AND(B105=2, COUNTIFS($A$2:A105, A105, $B$2:B105, 2)=1), 1, 0)</f>
        <v>0</v>
      </c>
    </row>
    <row r="106" spans="1:9">
      <c r="A106" s="22">
        <v>77010000031</v>
      </c>
      <c r="B106" s="22">
        <v>1</v>
      </c>
      <c r="C106" s="23" t="s">
        <v>0</v>
      </c>
      <c r="D106" s="22">
        <v>3.84</v>
      </c>
      <c r="E106" s="39">
        <v>9</v>
      </c>
      <c r="F106">
        <f>IF(COUNTIF($A$2:A106, A106)=1, 1, 0)</f>
        <v>0</v>
      </c>
      <c r="G106">
        <f>IF(AND(C106="Внутри сети", COUNTIFS($A$2:A106, A106, $C$2:C106, "Внутри сети")=1), 1, 0)</f>
        <v>0</v>
      </c>
      <c r="H106">
        <f>IF(AND(B106=6, COUNTIFS($A$2:A106, A106, $B$2:B106, 6)=1), 1, 0)</f>
        <v>0</v>
      </c>
      <c r="I106">
        <f>IF(AND(B106=2, COUNTIFS($A$2:A106, A106, $B$2:B106, 2)=1), 1, 0)</f>
        <v>0</v>
      </c>
    </row>
    <row r="107" spans="1:9">
      <c r="A107" s="22">
        <v>77010000043</v>
      </c>
      <c r="B107" s="22">
        <v>1</v>
      </c>
      <c r="C107" s="23" t="s">
        <v>0</v>
      </c>
      <c r="D107" s="22">
        <v>3.84</v>
      </c>
      <c r="E107" s="39">
        <v>9</v>
      </c>
      <c r="F107">
        <f>IF(COUNTIF($A$2:A107, A107)=1, 1, 0)</f>
        <v>1</v>
      </c>
      <c r="G107">
        <f>IF(AND(C107="Внутри сети", COUNTIFS($A$2:A107, A107, $C$2:C107, "Внутри сети")=1), 1, 0)</f>
        <v>1</v>
      </c>
      <c r="H107">
        <f>IF(AND(B107=6, COUNTIFS($A$2:A107, A107, $B$2:B107, 6)=1), 1, 0)</f>
        <v>0</v>
      </c>
      <c r="I107">
        <f>IF(AND(B107=2, COUNTIFS($A$2:A107, A107, $B$2:B107, 2)=1), 1, 0)</f>
        <v>0</v>
      </c>
    </row>
    <row r="108" spans="1:9">
      <c r="A108" s="22">
        <v>77010000002</v>
      </c>
      <c r="B108" s="22">
        <v>1</v>
      </c>
      <c r="C108" s="23" t="s">
        <v>0</v>
      </c>
      <c r="D108" s="22">
        <v>3.84</v>
      </c>
      <c r="E108" s="39">
        <v>9</v>
      </c>
      <c r="F108">
        <f>IF(COUNTIF($A$2:A108, A108)=1, 1, 0)</f>
        <v>0</v>
      </c>
      <c r="G108">
        <f>IF(AND(C108="Внутри сети", COUNTIFS($A$2:A108, A108, $C$2:C108, "Внутри сети")=1), 1, 0)</f>
        <v>0</v>
      </c>
      <c r="H108">
        <f>IF(AND(B108=6, COUNTIFS($A$2:A108, A108, $B$2:B108, 6)=1), 1, 0)</f>
        <v>0</v>
      </c>
      <c r="I108">
        <f>IF(AND(B108=2, COUNTIFS($A$2:A108, A108, $B$2:B108, 2)=1), 1, 0)</f>
        <v>0</v>
      </c>
    </row>
    <row r="109" spans="1:9">
      <c r="A109" s="22">
        <v>77010000013</v>
      </c>
      <c r="B109" s="22">
        <v>1</v>
      </c>
      <c r="C109" s="23" t="s">
        <v>0</v>
      </c>
      <c r="D109" s="22">
        <v>3.84</v>
      </c>
      <c r="E109" s="39">
        <v>9</v>
      </c>
      <c r="F109">
        <f>IF(COUNTIF($A$2:A109, A109)=1, 1, 0)</f>
        <v>1</v>
      </c>
      <c r="G109">
        <f>IF(AND(C109="Внутри сети", COUNTIFS($A$2:A109, A109, $C$2:C109, "Внутри сети")=1), 1, 0)</f>
        <v>1</v>
      </c>
      <c r="H109">
        <f>IF(AND(B109=6, COUNTIFS($A$2:A109, A109, $B$2:B109, 6)=1), 1, 0)</f>
        <v>0</v>
      </c>
      <c r="I109">
        <f>IF(AND(B109=2, COUNTIFS($A$2:A109, A109, $B$2:B109, 2)=1), 1, 0)</f>
        <v>0</v>
      </c>
    </row>
    <row r="110" spans="1:9">
      <c r="A110" s="22">
        <v>77010000036</v>
      </c>
      <c r="B110" s="22">
        <v>1</v>
      </c>
      <c r="C110" s="23" t="s">
        <v>0</v>
      </c>
      <c r="D110" s="22">
        <v>3.84</v>
      </c>
      <c r="E110" s="39">
        <v>9</v>
      </c>
      <c r="F110">
        <f>IF(COUNTIF($A$2:A110, A110)=1, 1, 0)</f>
        <v>1</v>
      </c>
      <c r="G110">
        <f>IF(AND(C110="Внутри сети", COUNTIFS($A$2:A110, A110, $C$2:C110, "Внутри сети")=1), 1, 0)</f>
        <v>1</v>
      </c>
      <c r="H110">
        <f>IF(AND(B110=6, COUNTIFS($A$2:A110, A110, $B$2:B110, 6)=1), 1, 0)</f>
        <v>0</v>
      </c>
      <c r="I110">
        <f>IF(AND(B110=2, COUNTIFS($A$2:A110, A110, $B$2:B110, 2)=1), 1, 0)</f>
        <v>0</v>
      </c>
    </row>
    <row r="111" spans="1:9">
      <c r="A111" s="22">
        <v>77010000076</v>
      </c>
      <c r="B111" s="22">
        <v>1</v>
      </c>
      <c r="C111" s="23" t="s">
        <v>0</v>
      </c>
      <c r="D111" s="22">
        <v>3.84</v>
      </c>
      <c r="E111" s="39">
        <v>9</v>
      </c>
      <c r="F111">
        <f>IF(COUNTIF($A$2:A111, A111)=1, 1, 0)</f>
        <v>0</v>
      </c>
      <c r="G111">
        <f>IF(AND(C111="Внутри сети", COUNTIFS($A$2:A111, A111, $C$2:C111, "Внутри сети")=1), 1, 0)</f>
        <v>0</v>
      </c>
      <c r="H111">
        <f>IF(AND(B111=6, COUNTIFS($A$2:A111, A111, $B$2:B111, 6)=1), 1, 0)</f>
        <v>0</v>
      </c>
      <c r="I111">
        <f>IF(AND(B111=2, COUNTIFS($A$2:A111, A111, $B$2:B111, 2)=1), 1, 0)</f>
        <v>0</v>
      </c>
    </row>
    <row r="112" spans="1:9">
      <c r="A112" s="22">
        <v>77010000079</v>
      </c>
      <c r="B112" s="22">
        <v>1</v>
      </c>
      <c r="C112" s="23" t="s">
        <v>0</v>
      </c>
      <c r="D112" s="22">
        <v>3.84</v>
      </c>
      <c r="E112" s="39">
        <v>9</v>
      </c>
      <c r="F112">
        <f>IF(COUNTIF($A$2:A112, A112)=1, 1, 0)</f>
        <v>0</v>
      </c>
      <c r="G112">
        <f>IF(AND(C112="Внутри сети", COUNTIFS($A$2:A112, A112, $C$2:C112, "Внутри сети")=1), 1, 0)</f>
        <v>0</v>
      </c>
      <c r="H112">
        <f>IF(AND(B112=6, COUNTIFS($A$2:A112, A112, $B$2:B112, 6)=1), 1, 0)</f>
        <v>0</v>
      </c>
      <c r="I112">
        <f>IF(AND(B112=2, COUNTIFS($A$2:A112, A112, $B$2:B112, 2)=1), 1, 0)</f>
        <v>0</v>
      </c>
    </row>
    <row r="113" spans="1:9">
      <c r="A113" s="22">
        <v>77010000074</v>
      </c>
      <c r="B113" s="22">
        <v>1</v>
      </c>
      <c r="C113" s="23" t="s">
        <v>0</v>
      </c>
      <c r="D113" s="22">
        <v>3.84</v>
      </c>
      <c r="E113" s="39">
        <v>9</v>
      </c>
      <c r="F113">
        <f>IF(COUNTIF($A$2:A113, A113)=1, 1, 0)</f>
        <v>1</v>
      </c>
      <c r="G113">
        <f>IF(AND(C113="Внутри сети", COUNTIFS($A$2:A113, A113, $C$2:C113, "Внутри сети")=1), 1, 0)</f>
        <v>1</v>
      </c>
      <c r="H113">
        <f>IF(AND(B113=6, COUNTIFS($A$2:A113, A113, $B$2:B113, 6)=1), 1, 0)</f>
        <v>0</v>
      </c>
      <c r="I113">
        <f>IF(AND(B113=2, COUNTIFS($A$2:A113, A113, $B$2:B113, 2)=1), 1, 0)</f>
        <v>0</v>
      </c>
    </row>
    <row r="114" spans="1:9">
      <c r="A114" s="22">
        <v>77010000076</v>
      </c>
      <c r="B114" s="22">
        <v>1</v>
      </c>
      <c r="C114" s="23" t="s">
        <v>0</v>
      </c>
      <c r="D114" s="22">
        <v>3.84</v>
      </c>
      <c r="E114" s="39">
        <v>9</v>
      </c>
      <c r="F114">
        <f>IF(COUNTIF($A$2:A114, A114)=1, 1, 0)</f>
        <v>0</v>
      </c>
      <c r="G114">
        <f>IF(AND(C114="Внутри сети", COUNTIFS($A$2:A114, A114, $C$2:C114, "Внутри сети")=1), 1, 0)</f>
        <v>0</v>
      </c>
      <c r="H114">
        <f>IF(AND(B114=6, COUNTIFS($A$2:A114, A114, $B$2:B114, 6)=1), 1, 0)</f>
        <v>0</v>
      </c>
      <c r="I114">
        <f>IF(AND(B114=2, COUNTIFS($A$2:A114, A114, $B$2:B114, 2)=1), 1, 0)</f>
        <v>0</v>
      </c>
    </row>
    <row r="115" spans="1:9">
      <c r="A115" s="22">
        <v>77010000078</v>
      </c>
      <c r="B115" s="22">
        <v>1</v>
      </c>
      <c r="C115" s="23" t="s">
        <v>0</v>
      </c>
      <c r="D115" s="22">
        <v>3.84</v>
      </c>
      <c r="E115" s="39">
        <v>9</v>
      </c>
      <c r="F115">
        <f>IF(COUNTIF($A$2:A115, A115)=1, 1, 0)</f>
        <v>0</v>
      </c>
      <c r="G115">
        <f>IF(AND(C115="Внутри сети", COUNTIFS($A$2:A115, A115, $C$2:C115, "Внутри сети")=1), 1, 0)</f>
        <v>0</v>
      </c>
      <c r="H115">
        <f>IF(AND(B115=6, COUNTIFS($A$2:A115, A115, $B$2:B115, 6)=1), 1, 0)</f>
        <v>0</v>
      </c>
      <c r="I115">
        <f>IF(AND(B115=2, COUNTIFS($A$2:A115, A115, $B$2:B115, 2)=1), 1, 0)</f>
        <v>0</v>
      </c>
    </row>
    <row r="116" spans="1:9">
      <c r="A116" s="22">
        <v>77010000056</v>
      </c>
      <c r="B116" s="22">
        <v>1</v>
      </c>
      <c r="C116" s="23" t="s">
        <v>0</v>
      </c>
      <c r="D116" s="22">
        <v>4.26</v>
      </c>
      <c r="E116" s="39">
        <v>10</v>
      </c>
      <c r="F116">
        <f>IF(COUNTIF($A$2:A116, A116)=1, 1, 0)</f>
        <v>0</v>
      </c>
      <c r="G116">
        <f>IF(AND(C116="Внутри сети", COUNTIFS($A$2:A116, A116, $C$2:C116, "Внутри сети")=1), 1, 0)</f>
        <v>0</v>
      </c>
      <c r="H116">
        <f>IF(AND(B116=6, COUNTIFS($A$2:A116, A116, $B$2:B116, 6)=1), 1, 0)</f>
        <v>0</v>
      </c>
      <c r="I116">
        <f>IF(AND(B116=2, COUNTIFS($A$2:A116, A116, $B$2:B116, 2)=1), 1, 0)</f>
        <v>0</v>
      </c>
    </row>
    <row r="117" spans="1:9">
      <c r="A117" s="22">
        <v>77010000049</v>
      </c>
      <c r="B117" s="22">
        <v>1</v>
      </c>
      <c r="C117" s="23" t="s">
        <v>0</v>
      </c>
      <c r="D117" s="22">
        <v>4.26</v>
      </c>
      <c r="E117" s="39">
        <v>10</v>
      </c>
      <c r="F117">
        <f>IF(COUNTIF($A$2:A117, A117)=1, 1, 0)</f>
        <v>0</v>
      </c>
      <c r="G117">
        <f>IF(AND(C117="Внутри сети", COUNTIFS($A$2:A117, A117, $C$2:C117, "Внутри сети")=1), 1, 0)</f>
        <v>0</v>
      </c>
      <c r="H117">
        <f>IF(AND(B117=6, COUNTIFS($A$2:A117, A117, $B$2:B117, 6)=1), 1, 0)</f>
        <v>0</v>
      </c>
      <c r="I117">
        <f>IF(AND(B117=2, COUNTIFS($A$2:A117, A117, $B$2:B117, 2)=1), 1, 0)</f>
        <v>0</v>
      </c>
    </row>
    <row r="118" spans="1:9">
      <c r="A118" s="22">
        <v>77010000051</v>
      </c>
      <c r="B118" s="22">
        <v>1</v>
      </c>
      <c r="C118" s="23" t="s">
        <v>3</v>
      </c>
      <c r="D118" s="22">
        <v>24.5</v>
      </c>
      <c r="E118" s="39">
        <v>10</v>
      </c>
      <c r="F118">
        <f>IF(COUNTIF($A$2:A118, A118)=1, 1, 0)</f>
        <v>0</v>
      </c>
      <c r="G118">
        <f>IF(AND(C118="Внутри сети", COUNTIFS($A$2:A118, A118, $C$2:C118, "Внутри сети")=1), 1, 0)</f>
        <v>0</v>
      </c>
      <c r="H118">
        <f>IF(AND(B118=6, COUNTIFS($A$2:A118, A118, $B$2:B118, 6)=1), 1, 0)</f>
        <v>0</v>
      </c>
      <c r="I118">
        <f>IF(AND(B118=2, COUNTIFS($A$2:A118, A118, $B$2:B118, 2)=1), 1, 0)</f>
        <v>0</v>
      </c>
    </row>
    <row r="119" spans="1:9">
      <c r="A119" s="22">
        <v>77010000059</v>
      </c>
      <c r="B119" s="22">
        <v>1</v>
      </c>
      <c r="C119" s="23" t="s">
        <v>0</v>
      </c>
      <c r="D119" s="22">
        <v>4.26</v>
      </c>
      <c r="E119" s="39">
        <v>10</v>
      </c>
      <c r="F119">
        <f>IF(COUNTIF($A$2:A119, A119)=1, 1, 0)</f>
        <v>1</v>
      </c>
      <c r="G119">
        <f>IF(AND(C119="Внутри сети", COUNTIFS($A$2:A119, A119, $C$2:C119, "Внутри сети")=1), 1, 0)</f>
        <v>1</v>
      </c>
      <c r="H119">
        <f>IF(AND(B119=6, COUNTIFS($A$2:A119, A119, $B$2:B119, 6)=1), 1, 0)</f>
        <v>0</v>
      </c>
      <c r="I119">
        <f>IF(AND(B119=2, COUNTIFS($A$2:A119, A119, $B$2:B119, 2)=1), 1, 0)</f>
        <v>0</v>
      </c>
    </row>
    <row r="120" spans="1:9">
      <c r="A120" s="22">
        <v>77010000068</v>
      </c>
      <c r="B120" s="22">
        <v>1</v>
      </c>
      <c r="C120" s="23" t="s">
        <v>0</v>
      </c>
      <c r="D120" s="22">
        <v>4.26</v>
      </c>
      <c r="E120" s="39">
        <v>10</v>
      </c>
      <c r="F120">
        <f>IF(COUNTIF($A$2:A120, A120)=1, 1, 0)</f>
        <v>0</v>
      </c>
      <c r="G120">
        <f>IF(AND(C120="Внутри сети", COUNTIFS($A$2:A120, A120, $C$2:C120, "Внутри сети")=1), 1, 0)</f>
        <v>0</v>
      </c>
      <c r="H120">
        <f>IF(AND(B120=6, COUNTIFS($A$2:A120, A120, $B$2:B120, 6)=1), 1, 0)</f>
        <v>0</v>
      </c>
      <c r="I120">
        <f>IF(AND(B120=2, COUNTIFS($A$2:A120, A120, $B$2:B120, 2)=1), 1, 0)</f>
        <v>0</v>
      </c>
    </row>
    <row r="121" spans="1:9">
      <c r="A121" s="22">
        <v>77010000077</v>
      </c>
      <c r="B121" s="22">
        <v>1</v>
      </c>
      <c r="C121" s="23" t="s">
        <v>0</v>
      </c>
      <c r="D121" s="22">
        <v>4.26</v>
      </c>
      <c r="E121" s="39">
        <v>10</v>
      </c>
      <c r="F121">
        <f>IF(COUNTIF($A$2:A121, A121)=1, 1, 0)</f>
        <v>1</v>
      </c>
      <c r="G121">
        <f>IF(AND(C121="Внутри сети", COUNTIFS($A$2:A121, A121, $C$2:C121, "Внутри сети")=1), 1, 0)</f>
        <v>1</v>
      </c>
      <c r="H121">
        <f>IF(AND(B121=6, COUNTIFS($A$2:A121, A121, $B$2:B121, 6)=1), 1, 0)</f>
        <v>0</v>
      </c>
      <c r="I121">
        <f>IF(AND(B121=2, COUNTIFS($A$2:A121, A121, $B$2:B121, 2)=1), 1, 0)</f>
        <v>0</v>
      </c>
    </row>
    <row r="122" spans="1:9">
      <c r="A122" s="22">
        <v>77010000083</v>
      </c>
      <c r="B122" s="22">
        <v>1</v>
      </c>
      <c r="C122" s="23" t="s">
        <v>0</v>
      </c>
      <c r="D122" s="22">
        <v>4.26</v>
      </c>
      <c r="E122" s="39">
        <v>10</v>
      </c>
      <c r="F122">
        <f>IF(COUNTIF($A$2:A122, A122)=1, 1, 0)</f>
        <v>1</v>
      </c>
      <c r="G122">
        <f>IF(AND(C122="Внутри сети", COUNTIFS($A$2:A122, A122, $C$2:C122, "Внутри сети")=1), 1, 0)</f>
        <v>1</v>
      </c>
      <c r="H122">
        <f>IF(AND(B122=6, COUNTIFS($A$2:A122, A122, $B$2:B122, 6)=1), 1, 0)</f>
        <v>0</v>
      </c>
      <c r="I122">
        <f>IF(AND(B122=2, COUNTIFS($A$2:A122, A122, $B$2:B122, 2)=1), 1, 0)</f>
        <v>0</v>
      </c>
    </row>
    <row r="123" spans="1:9">
      <c r="A123" s="22">
        <v>77010000090</v>
      </c>
      <c r="B123" s="22">
        <v>1</v>
      </c>
      <c r="C123" s="23" t="s">
        <v>0</v>
      </c>
      <c r="D123" s="22">
        <v>4.26</v>
      </c>
      <c r="E123" s="39">
        <v>10</v>
      </c>
      <c r="F123">
        <f>IF(COUNTIF($A$2:A123, A123)=1, 1, 0)</f>
        <v>0</v>
      </c>
      <c r="G123">
        <f>IF(AND(C123="Внутри сети", COUNTIFS($A$2:A123, A123, $C$2:C123, "Внутри сети")=1), 1, 0)</f>
        <v>0</v>
      </c>
      <c r="H123">
        <f>IF(AND(B123=6, COUNTIFS($A$2:A123, A123, $B$2:B123, 6)=1), 1, 0)</f>
        <v>0</v>
      </c>
      <c r="I123">
        <f>IF(AND(B123=2, COUNTIFS($A$2:A123, A123, $B$2:B123, 2)=1), 1, 0)</f>
        <v>0</v>
      </c>
    </row>
    <row r="124" spans="1:9">
      <c r="A124" s="22">
        <v>77010000011</v>
      </c>
      <c r="B124" s="22">
        <v>1</v>
      </c>
      <c r="C124" s="23" t="s">
        <v>0</v>
      </c>
      <c r="D124" s="22">
        <v>4.26</v>
      </c>
      <c r="E124" s="39">
        <v>10</v>
      </c>
      <c r="F124">
        <f>IF(COUNTIF($A$2:A124, A124)=1, 1, 0)</f>
        <v>1</v>
      </c>
      <c r="G124">
        <f>IF(AND(C124="Внутри сети", COUNTIFS($A$2:A124, A124, $C$2:C124, "Внутри сети")=1), 1, 0)</f>
        <v>1</v>
      </c>
      <c r="H124">
        <f>IF(AND(B124=6, COUNTIFS($A$2:A124, A124, $B$2:B124, 6)=1), 1, 0)</f>
        <v>0</v>
      </c>
      <c r="I124">
        <f>IF(AND(B124=2, COUNTIFS($A$2:A124, A124, $B$2:B124, 2)=1), 1, 0)</f>
        <v>0</v>
      </c>
    </row>
    <row r="125" spans="1:9">
      <c r="A125" s="22">
        <v>77010000027</v>
      </c>
      <c r="B125" s="22">
        <v>1</v>
      </c>
      <c r="C125" s="23" t="s">
        <v>1</v>
      </c>
      <c r="D125" s="22">
        <v>7.43</v>
      </c>
      <c r="E125" s="39">
        <v>10</v>
      </c>
      <c r="F125">
        <f>IF(COUNTIF($A$2:A125, A125)=1, 1, 0)</f>
        <v>1</v>
      </c>
      <c r="G125">
        <f>IF(AND(C125="Внутри сети", COUNTIFS($A$2:A125, A125, $C$2:C125, "Внутри сети")=1), 1, 0)</f>
        <v>0</v>
      </c>
      <c r="H125">
        <f>IF(AND(B125=6, COUNTIFS($A$2:A125, A125, $B$2:B125, 6)=1), 1, 0)</f>
        <v>0</v>
      </c>
      <c r="I125">
        <f>IF(AND(B125=2, COUNTIFS($A$2:A125, A125, $B$2:B125, 2)=1), 1, 0)</f>
        <v>0</v>
      </c>
    </row>
    <row r="126" spans="1:9">
      <c r="A126" s="22">
        <v>77010000039</v>
      </c>
      <c r="B126" s="22">
        <v>1</v>
      </c>
      <c r="C126" s="23" t="s">
        <v>0</v>
      </c>
      <c r="D126" s="22">
        <v>4.26</v>
      </c>
      <c r="E126" s="39">
        <v>10</v>
      </c>
      <c r="F126">
        <f>IF(COUNTIF($A$2:A126, A126)=1, 1, 0)</f>
        <v>0</v>
      </c>
      <c r="G126">
        <f>IF(AND(C126="Внутри сети", COUNTIFS($A$2:A126, A126, $C$2:C126, "Внутри сети")=1), 1, 0)</f>
        <v>0</v>
      </c>
      <c r="H126">
        <f>IF(AND(B126=6, COUNTIFS($A$2:A126, A126, $B$2:B126, 6)=1), 1, 0)</f>
        <v>0</v>
      </c>
      <c r="I126">
        <f>IF(AND(B126=2, COUNTIFS($A$2:A126, A126, $B$2:B126, 2)=1), 1, 0)</f>
        <v>0</v>
      </c>
    </row>
    <row r="127" spans="1:9">
      <c r="A127" s="22">
        <v>77010000045</v>
      </c>
      <c r="B127" s="22">
        <v>1</v>
      </c>
      <c r="C127" s="23" t="s">
        <v>0</v>
      </c>
      <c r="D127" s="22">
        <v>4.26</v>
      </c>
      <c r="E127" s="39">
        <v>10</v>
      </c>
      <c r="F127">
        <f>IF(COUNTIF($A$2:A127, A127)=1, 1, 0)</f>
        <v>0</v>
      </c>
      <c r="G127">
        <f>IF(AND(C127="Внутри сети", COUNTIFS($A$2:A127, A127, $C$2:C127, "Внутри сети")=1), 1, 0)</f>
        <v>0</v>
      </c>
      <c r="H127">
        <f>IF(AND(B127=6, COUNTIFS($A$2:A127, A127, $B$2:B127, 6)=1), 1, 0)</f>
        <v>0</v>
      </c>
      <c r="I127">
        <f>IF(AND(B127=2, COUNTIFS($A$2:A127, A127, $B$2:B127, 2)=1), 1, 0)</f>
        <v>0</v>
      </c>
    </row>
    <row r="128" spans="1:9">
      <c r="A128" s="22">
        <v>77010000046</v>
      </c>
      <c r="B128" s="22">
        <v>1</v>
      </c>
      <c r="C128" s="23" t="s">
        <v>0</v>
      </c>
      <c r="D128" s="22">
        <v>4.26</v>
      </c>
      <c r="E128" s="39">
        <v>10</v>
      </c>
      <c r="F128">
        <f>IF(COUNTIF($A$2:A128, A128)=1, 1, 0)</f>
        <v>0</v>
      </c>
      <c r="G128">
        <f>IF(AND(C128="Внутри сети", COUNTIFS($A$2:A128, A128, $C$2:C128, "Внутри сети")=1), 1, 0)</f>
        <v>0</v>
      </c>
      <c r="H128">
        <f>IF(AND(B128=6, COUNTIFS($A$2:A128, A128, $B$2:B128, 6)=1), 1, 0)</f>
        <v>0</v>
      </c>
      <c r="I128">
        <f>IF(AND(B128=2, COUNTIFS($A$2:A128, A128, $B$2:B128, 2)=1), 1, 0)</f>
        <v>0</v>
      </c>
    </row>
    <row r="129" spans="1:9">
      <c r="A129" s="22">
        <v>77010000011</v>
      </c>
      <c r="B129" s="22">
        <v>1</v>
      </c>
      <c r="C129" s="23" t="s">
        <v>0</v>
      </c>
      <c r="D129" s="22">
        <v>4.26</v>
      </c>
      <c r="E129" s="39">
        <v>10</v>
      </c>
      <c r="F129">
        <f>IF(COUNTIF($A$2:A129, A129)=1, 1, 0)</f>
        <v>0</v>
      </c>
      <c r="G129">
        <f>IF(AND(C129="Внутри сети", COUNTIFS($A$2:A129, A129, $C$2:C129, "Внутри сети")=1), 1, 0)</f>
        <v>0</v>
      </c>
      <c r="H129">
        <f>IF(AND(B129=6, COUNTIFS($A$2:A129, A129, $B$2:B129, 6)=1), 1, 0)</f>
        <v>0</v>
      </c>
      <c r="I129">
        <f>IF(AND(B129=2, COUNTIFS($A$2:A129, A129, $B$2:B129, 2)=1), 1, 0)</f>
        <v>0</v>
      </c>
    </row>
    <row r="130" spans="1:9">
      <c r="A130" s="22">
        <v>77010000032</v>
      </c>
      <c r="B130" s="22">
        <v>1</v>
      </c>
      <c r="C130" s="23" t="s">
        <v>0</v>
      </c>
      <c r="D130" s="22">
        <v>4.26</v>
      </c>
      <c r="E130" s="39">
        <v>10</v>
      </c>
      <c r="F130">
        <f>IF(COUNTIF($A$2:A130, A130)=1, 1, 0)</f>
        <v>1</v>
      </c>
      <c r="G130">
        <f>IF(AND(C130="Внутри сети", COUNTIFS($A$2:A130, A130, $C$2:C130, "Внутри сети")=1), 1, 0)</f>
        <v>1</v>
      </c>
      <c r="H130">
        <f>IF(AND(B130=6, COUNTIFS($A$2:A130, A130, $B$2:B130, 6)=1), 1, 0)</f>
        <v>0</v>
      </c>
      <c r="I130">
        <f>IF(AND(B130=2, COUNTIFS($A$2:A130, A130, $B$2:B130, 2)=1), 1, 0)</f>
        <v>0</v>
      </c>
    </row>
    <row r="131" spans="1:9">
      <c r="A131" s="22">
        <v>77010000078</v>
      </c>
      <c r="B131" s="22">
        <v>1</v>
      </c>
      <c r="C131" s="23" t="s">
        <v>0</v>
      </c>
      <c r="D131" s="22">
        <v>4.26</v>
      </c>
      <c r="E131" s="39">
        <v>10</v>
      </c>
      <c r="F131">
        <f>IF(COUNTIF($A$2:A131, A131)=1, 1, 0)</f>
        <v>0</v>
      </c>
      <c r="G131">
        <f>IF(AND(C131="Внутри сети", COUNTIFS($A$2:A131, A131, $C$2:C131, "Внутри сети")=1), 1, 0)</f>
        <v>0</v>
      </c>
      <c r="H131">
        <f>IF(AND(B131=6, COUNTIFS($A$2:A131, A131, $B$2:B131, 6)=1), 1, 0)</f>
        <v>0</v>
      </c>
      <c r="I131">
        <f>IF(AND(B131=2, COUNTIFS($A$2:A131, A131, $B$2:B131, 2)=1), 1, 0)</f>
        <v>0</v>
      </c>
    </row>
    <row r="132" spans="1:9">
      <c r="A132" s="22">
        <v>77010000057</v>
      </c>
      <c r="B132" s="22">
        <v>1</v>
      </c>
      <c r="C132" s="23" t="s">
        <v>0</v>
      </c>
      <c r="D132" s="22">
        <v>4.6900000000000004</v>
      </c>
      <c r="E132" s="39">
        <v>11</v>
      </c>
      <c r="F132">
        <f>IF(COUNTIF($A$2:A132, A132)=1, 1, 0)</f>
        <v>0</v>
      </c>
      <c r="G132">
        <f>IF(AND(C132="Внутри сети", COUNTIFS($A$2:A132, A132, $C$2:C132, "Внутри сети")=1), 1, 0)</f>
        <v>0</v>
      </c>
      <c r="H132">
        <f>IF(AND(B132=6, COUNTIFS($A$2:A132, A132, $B$2:B132, 6)=1), 1, 0)</f>
        <v>0</v>
      </c>
      <c r="I132">
        <f>IF(AND(B132=2, COUNTIFS($A$2:A132, A132, $B$2:B132, 2)=1), 1, 0)</f>
        <v>0</v>
      </c>
    </row>
    <row r="133" spans="1:9">
      <c r="A133" s="22">
        <v>77010000053</v>
      </c>
      <c r="B133" s="22">
        <v>1</v>
      </c>
      <c r="C133" s="23" t="s">
        <v>0</v>
      </c>
      <c r="D133" s="22">
        <v>4.6900000000000004</v>
      </c>
      <c r="E133" s="39">
        <v>11</v>
      </c>
      <c r="F133">
        <f>IF(COUNTIF($A$2:A133, A133)=1, 1, 0)</f>
        <v>0</v>
      </c>
      <c r="G133">
        <f>IF(AND(C133="Внутри сети", COUNTIFS($A$2:A133, A133, $C$2:C133, "Внутри сети")=1), 1, 0)</f>
        <v>1</v>
      </c>
      <c r="H133">
        <f>IF(AND(B133=6, COUNTIFS($A$2:A133, A133, $B$2:B133, 6)=1), 1, 0)</f>
        <v>0</v>
      </c>
      <c r="I133">
        <f>IF(AND(B133=2, COUNTIFS($A$2:A133, A133, $B$2:B133, 2)=1), 1, 0)</f>
        <v>0</v>
      </c>
    </row>
    <row r="134" spans="1:9">
      <c r="A134" s="22">
        <v>77010000063</v>
      </c>
      <c r="B134" s="22">
        <v>1</v>
      </c>
      <c r="C134" s="23" t="s">
        <v>0</v>
      </c>
      <c r="D134" s="22">
        <v>4.6900000000000004</v>
      </c>
      <c r="E134" s="39">
        <v>11</v>
      </c>
      <c r="F134">
        <f>IF(COUNTIF($A$2:A134, A134)=1, 1, 0)</f>
        <v>0</v>
      </c>
      <c r="G134">
        <f>IF(AND(C134="Внутри сети", COUNTIFS($A$2:A134, A134, $C$2:C134, "Внутри сети")=1), 1, 0)</f>
        <v>1</v>
      </c>
      <c r="H134">
        <f>IF(AND(B134=6, COUNTIFS($A$2:A134, A134, $B$2:B134, 6)=1), 1, 0)</f>
        <v>0</v>
      </c>
      <c r="I134">
        <f>IF(AND(B134=2, COUNTIFS($A$2:A134, A134, $B$2:B134, 2)=1), 1, 0)</f>
        <v>0</v>
      </c>
    </row>
    <row r="135" spans="1:9">
      <c r="A135" s="44">
        <v>77010000055</v>
      </c>
      <c r="B135" s="22">
        <v>1</v>
      </c>
      <c r="C135" s="23" t="s">
        <v>3</v>
      </c>
      <c r="D135" s="22">
        <v>24.5</v>
      </c>
      <c r="E135" s="39">
        <v>11</v>
      </c>
      <c r="F135">
        <f>IF(COUNTIF($A$2:A135, A135)=1, 1, 0)</f>
        <v>0</v>
      </c>
      <c r="G135">
        <f>IF(AND(C135="Внутри сети", COUNTIFS($A$2:A135, A135, $C$2:C135, "Внутри сети")=1), 1, 0)</f>
        <v>0</v>
      </c>
      <c r="H135">
        <f>IF(AND(B135=6, COUNTIFS($A$2:A135, A135, $B$2:B135, 6)=1), 1, 0)</f>
        <v>0</v>
      </c>
      <c r="I135">
        <f>IF(AND(B135=2, COUNTIFS($A$2:A135, A135, $B$2:B135, 2)=1), 1, 0)</f>
        <v>0</v>
      </c>
    </row>
    <row r="136" spans="1:9">
      <c r="A136" s="22">
        <v>77010000052</v>
      </c>
      <c r="B136" s="22">
        <v>1</v>
      </c>
      <c r="C136" s="23" t="s">
        <v>0</v>
      </c>
      <c r="D136" s="22">
        <v>4.6900000000000004</v>
      </c>
      <c r="E136" s="39">
        <v>11</v>
      </c>
      <c r="F136">
        <f>IF(COUNTIF($A$2:A136, A136)=1, 1, 0)</f>
        <v>0</v>
      </c>
      <c r="G136">
        <f>IF(AND(C136="Внутри сети", COUNTIFS($A$2:A136, A136, $C$2:C136, "Внутри сети")=1), 1, 0)</f>
        <v>0</v>
      </c>
      <c r="H136">
        <f>IF(AND(B136=6, COUNTIFS($A$2:A136, A136, $B$2:B136, 6)=1), 1, 0)</f>
        <v>0</v>
      </c>
      <c r="I136">
        <f>IF(AND(B136=2, COUNTIFS($A$2:A136, A136, $B$2:B136, 2)=1), 1, 0)</f>
        <v>0</v>
      </c>
    </row>
    <row r="137" spans="1:9">
      <c r="A137" s="22">
        <v>77010000056</v>
      </c>
      <c r="B137" s="22">
        <v>1</v>
      </c>
      <c r="C137" s="23" t="s">
        <v>0</v>
      </c>
      <c r="D137" s="22">
        <v>4.6900000000000004</v>
      </c>
      <c r="E137" s="39">
        <v>11</v>
      </c>
      <c r="F137">
        <f>IF(COUNTIF($A$2:A137, A137)=1, 1, 0)</f>
        <v>0</v>
      </c>
      <c r="G137">
        <f>IF(AND(C137="Внутри сети", COUNTIFS($A$2:A137, A137, $C$2:C137, "Внутри сети")=1), 1, 0)</f>
        <v>0</v>
      </c>
      <c r="H137">
        <f>IF(AND(B137=6, COUNTIFS($A$2:A137, A137, $B$2:B137, 6)=1), 1, 0)</f>
        <v>0</v>
      </c>
      <c r="I137">
        <f>IF(AND(B137=2, COUNTIFS($A$2:A137, A137, $B$2:B137, 2)=1), 1, 0)</f>
        <v>0</v>
      </c>
    </row>
    <row r="138" spans="1:9">
      <c r="A138" s="22">
        <v>77010000060</v>
      </c>
      <c r="B138" s="22">
        <v>1</v>
      </c>
      <c r="C138" s="23" t="s">
        <v>0</v>
      </c>
      <c r="D138" s="22">
        <v>4.6900000000000004</v>
      </c>
      <c r="E138" s="39">
        <v>11</v>
      </c>
      <c r="F138">
        <f>IF(COUNTIF($A$2:A138, A138)=1, 1, 0)</f>
        <v>0</v>
      </c>
      <c r="G138">
        <f>IF(AND(C138="Внутри сети", COUNTIFS($A$2:A138, A138, $C$2:C138, "Внутри сети")=1), 1, 0)</f>
        <v>0</v>
      </c>
      <c r="H138">
        <f>IF(AND(B138=6, COUNTIFS($A$2:A138, A138, $B$2:B138, 6)=1), 1, 0)</f>
        <v>0</v>
      </c>
      <c r="I138">
        <f>IF(AND(B138=2, COUNTIFS($A$2:A138, A138, $B$2:B138, 2)=1), 1, 0)</f>
        <v>0</v>
      </c>
    </row>
    <row r="139" spans="1:9">
      <c r="A139" s="22">
        <v>77010000092</v>
      </c>
      <c r="B139" s="22">
        <v>1</v>
      </c>
      <c r="C139" s="23" t="s">
        <v>3</v>
      </c>
      <c r="D139" s="22">
        <v>24.5</v>
      </c>
      <c r="E139" s="39">
        <v>11</v>
      </c>
      <c r="F139">
        <f>IF(COUNTIF($A$2:A139, A139)=1, 1, 0)</f>
        <v>0</v>
      </c>
      <c r="G139">
        <f>IF(AND(C139="Внутри сети", COUNTIFS($A$2:A139, A139, $C$2:C139, "Внутри сети")=1), 1, 0)</f>
        <v>0</v>
      </c>
      <c r="H139">
        <f>IF(AND(B139=6, COUNTIFS($A$2:A139, A139, $B$2:B139, 6)=1), 1, 0)</f>
        <v>0</v>
      </c>
      <c r="I139">
        <f>IF(AND(B139=2, COUNTIFS($A$2:A139, A139, $B$2:B139, 2)=1), 1, 0)</f>
        <v>0</v>
      </c>
    </row>
    <row r="140" spans="1:9">
      <c r="A140" s="22">
        <v>77010000066</v>
      </c>
      <c r="B140" s="22">
        <v>1</v>
      </c>
      <c r="C140" s="23" t="s">
        <v>0</v>
      </c>
      <c r="D140" s="22">
        <v>4.6900000000000004</v>
      </c>
      <c r="E140" s="39">
        <v>11</v>
      </c>
      <c r="F140">
        <f>IF(COUNTIF($A$2:A140, A140)=1, 1, 0)</f>
        <v>0</v>
      </c>
      <c r="G140">
        <f>IF(AND(C140="Внутри сети", COUNTIFS($A$2:A140, A140, $C$2:C140, "Внутри сети")=1), 1, 0)</f>
        <v>0</v>
      </c>
      <c r="H140">
        <f>IF(AND(B140=6, COUNTIFS($A$2:A140, A140, $B$2:B140, 6)=1), 1, 0)</f>
        <v>0</v>
      </c>
      <c r="I140">
        <f>IF(AND(B140=2, COUNTIFS($A$2:A140, A140, $B$2:B140, 2)=1), 1, 0)</f>
        <v>0</v>
      </c>
    </row>
    <row r="141" spans="1:9">
      <c r="A141" s="22">
        <v>77010000074</v>
      </c>
      <c r="B141" s="22">
        <v>1</v>
      </c>
      <c r="C141" s="23" t="s">
        <v>0</v>
      </c>
      <c r="D141" s="22">
        <v>4.6900000000000004</v>
      </c>
      <c r="E141" s="39">
        <v>11</v>
      </c>
      <c r="F141">
        <f>IF(COUNTIF($A$2:A141, A141)=1, 1, 0)</f>
        <v>0</v>
      </c>
      <c r="G141">
        <f>IF(AND(C141="Внутри сети", COUNTIFS($A$2:A141, A141, $C$2:C141, "Внутри сети")=1), 1, 0)</f>
        <v>0</v>
      </c>
      <c r="H141">
        <f>IF(AND(B141=6, COUNTIFS($A$2:A141, A141, $B$2:B141, 6)=1), 1, 0)</f>
        <v>0</v>
      </c>
      <c r="I141">
        <f>IF(AND(B141=2, COUNTIFS($A$2:A141, A141, $B$2:B141, 2)=1), 1, 0)</f>
        <v>0</v>
      </c>
    </row>
    <row r="142" spans="1:9">
      <c r="A142" s="22">
        <v>77010000006</v>
      </c>
      <c r="B142" s="22">
        <v>1</v>
      </c>
      <c r="C142" s="23" t="s">
        <v>0</v>
      </c>
      <c r="D142" s="22">
        <v>4.6900000000000004</v>
      </c>
      <c r="E142" s="39">
        <v>11</v>
      </c>
      <c r="F142">
        <f>IF(COUNTIF($A$2:A142, A142)=1, 1, 0)</f>
        <v>0</v>
      </c>
      <c r="G142">
        <f>IF(AND(C142="Внутри сети", COUNTIFS($A$2:A142, A142, $C$2:C142, "Внутри сети")=1), 1, 0)</f>
        <v>0</v>
      </c>
      <c r="H142">
        <f>IF(AND(B142=6, COUNTIFS($A$2:A142, A142, $B$2:B142, 6)=1), 1, 0)</f>
        <v>0</v>
      </c>
      <c r="I142">
        <f>IF(AND(B142=2, COUNTIFS($A$2:A142, A142, $B$2:B142, 2)=1), 1, 0)</f>
        <v>0</v>
      </c>
    </row>
    <row r="143" spans="1:9">
      <c r="A143" s="22">
        <v>77010000022</v>
      </c>
      <c r="B143" s="22">
        <v>1</v>
      </c>
      <c r="C143" s="23" t="s">
        <v>0</v>
      </c>
      <c r="D143" s="22">
        <v>4.6900000000000004</v>
      </c>
      <c r="E143" s="39">
        <v>11</v>
      </c>
      <c r="F143">
        <f>IF(COUNTIF($A$2:A143, A143)=1, 1, 0)</f>
        <v>1</v>
      </c>
      <c r="G143">
        <f>IF(AND(C143="Внутри сети", COUNTIFS($A$2:A143, A143, $C$2:C143, "Внутри сети")=1), 1, 0)</f>
        <v>1</v>
      </c>
      <c r="H143">
        <f>IF(AND(B143=6, COUNTIFS($A$2:A143, A143, $B$2:B143, 6)=1), 1, 0)</f>
        <v>0</v>
      </c>
      <c r="I143">
        <f>IF(AND(B143=2, COUNTIFS($A$2:A143, A143, $B$2:B143, 2)=1), 1, 0)</f>
        <v>0</v>
      </c>
    </row>
    <row r="144" spans="1:9">
      <c r="A144" s="22">
        <v>77010000037</v>
      </c>
      <c r="B144" s="22">
        <v>1</v>
      </c>
      <c r="C144" s="23" t="s">
        <v>0</v>
      </c>
      <c r="D144" s="22">
        <v>4.6900000000000004</v>
      </c>
      <c r="E144" s="39">
        <v>11</v>
      </c>
      <c r="F144">
        <f>IF(COUNTIF($A$2:A144, A144)=1, 1, 0)</f>
        <v>0</v>
      </c>
      <c r="G144">
        <f>IF(AND(C144="Внутри сети", COUNTIFS($A$2:A144, A144, $C$2:C144, "Внутри сети")=1), 1, 0)</f>
        <v>1</v>
      </c>
      <c r="H144">
        <f>IF(AND(B144=6, COUNTIFS($A$2:A144, A144, $B$2:B144, 6)=1), 1, 0)</f>
        <v>0</v>
      </c>
      <c r="I144">
        <f>IF(AND(B144=2, COUNTIFS($A$2:A144, A144, $B$2:B144, 2)=1), 1, 0)</f>
        <v>0</v>
      </c>
    </row>
    <row r="145" spans="1:9">
      <c r="A145" s="22">
        <v>77010000018</v>
      </c>
      <c r="B145" s="22">
        <v>1</v>
      </c>
      <c r="C145" s="23" t="s">
        <v>0</v>
      </c>
      <c r="D145" s="22">
        <v>4.6900000000000004</v>
      </c>
      <c r="E145" s="39">
        <v>11</v>
      </c>
      <c r="F145">
        <f>IF(COUNTIF($A$2:A145, A145)=1, 1, 0)</f>
        <v>0</v>
      </c>
      <c r="G145">
        <f>IF(AND(C145="Внутри сети", COUNTIFS($A$2:A145, A145, $C$2:C145, "Внутри сети")=1), 1, 0)</f>
        <v>0</v>
      </c>
      <c r="H145">
        <f>IF(AND(B145=6, COUNTIFS($A$2:A145, A145, $B$2:B145, 6)=1), 1, 0)</f>
        <v>0</v>
      </c>
      <c r="I145">
        <f>IF(AND(B145=2, COUNTIFS($A$2:A145, A145, $B$2:B145, 2)=1), 1, 0)</f>
        <v>0</v>
      </c>
    </row>
    <row r="146" spans="1:9">
      <c r="A146" s="22">
        <v>77010000034</v>
      </c>
      <c r="B146" s="22">
        <v>1</v>
      </c>
      <c r="C146" s="23" t="s">
        <v>0</v>
      </c>
      <c r="D146" s="22">
        <v>4.6900000000000004</v>
      </c>
      <c r="E146" s="39">
        <v>11</v>
      </c>
      <c r="F146">
        <f>IF(COUNTIF($A$2:A146, A146)=1, 1, 0)</f>
        <v>1</v>
      </c>
      <c r="G146">
        <f>IF(AND(C146="Внутри сети", COUNTIFS($A$2:A146, A146, $C$2:C146, "Внутри сети")=1), 1, 0)</f>
        <v>1</v>
      </c>
      <c r="H146">
        <f>IF(AND(B146=6, COUNTIFS($A$2:A146, A146, $B$2:B146, 6)=1), 1, 0)</f>
        <v>0</v>
      </c>
      <c r="I146">
        <f>IF(AND(B146=2, COUNTIFS($A$2:A146, A146, $B$2:B146, 2)=1), 1, 0)</f>
        <v>0</v>
      </c>
    </row>
    <row r="147" spans="1:9">
      <c r="A147" s="22">
        <v>77010000051</v>
      </c>
      <c r="B147" s="22">
        <v>1</v>
      </c>
      <c r="C147" s="23" t="s">
        <v>0</v>
      </c>
      <c r="D147" s="22">
        <v>4.6900000000000004</v>
      </c>
      <c r="E147" s="39">
        <v>11</v>
      </c>
      <c r="F147">
        <f>IF(COUNTIF($A$2:A147, A147)=1, 1, 0)</f>
        <v>0</v>
      </c>
      <c r="G147">
        <f>IF(AND(C147="Внутри сети", COUNTIFS($A$2:A147, A147, $C$2:C147, "Внутри сети")=1), 1, 0)</f>
        <v>1</v>
      </c>
      <c r="H147">
        <f>IF(AND(B147=6, COUNTIFS($A$2:A147, A147, $B$2:B147, 6)=1), 1, 0)</f>
        <v>0</v>
      </c>
      <c r="I147">
        <f>IF(AND(B147=2, COUNTIFS($A$2:A147, A147, $B$2:B147, 2)=1), 1, 0)</f>
        <v>0</v>
      </c>
    </row>
    <row r="148" spans="1:9">
      <c r="A148" s="22">
        <v>77010000082</v>
      </c>
      <c r="B148" s="22">
        <v>1</v>
      </c>
      <c r="C148" s="23" t="s">
        <v>0</v>
      </c>
      <c r="D148" s="22">
        <v>4.6900000000000004</v>
      </c>
      <c r="E148" s="39">
        <v>11</v>
      </c>
      <c r="F148">
        <f>IF(COUNTIF($A$2:A148, A148)=1, 1, 0)</f>
        <v>0</v>
      </c>
      <c r="G148">
        <f>IF(AND(C148="Внутри сети", COUNTIFS($A$2:A148, A148, $C$2:C148, "Внутри сети")=1), 1, 0)</f>
        <v>0</v>
      </c>
      <c r="H148">
        <f>IF(AND(B148=6, COUNTIFS($A$2:A148, A148, $B$2:B148, 6)=1), 1, 0)</f>
        <v>0</v>
      </c>
      <c r="I148">
        <f>IF(AND(B148=2, COUNTIFS($A$2:A148, A148, $B$2:B148, 2)=1), 1, 0)</f>
        <v>0</v>
      </c>
    </row>
    <row r="149" spans="1:9">
      <c r="A149" s="22">
        <v>77010000080</v>
      </c>
      <c r="B149" s="22">
        <v>1</v>
      </c>
      <c r="C149" s="23" t="s">
        <v>0</v>
      </c>
      <c r="D149" s="22">
        <v>4.6900000000000004</v>
      </c>
      <c r="E149" s="39">
        <v>11</v>
      </c>
      <c r="F149">
        <f>IF(COUNTIF($A$2:A149, A149)=1, 1, 0)</f>
        <v>1</v>
      </c>
      <c r="G149">
        <f>IF(AND(C149="Внутри сети", COUNTIFS($A$2:A149, A149, $C$2:C149, "Внутри сети")=1), 1, 0)</f>
        <v>1</v>
      </c>
      <c r="H149">
        <f>IF(AND(B149=6, COUNTIFS($A$2:A149, A149, $B$2:B149, 6)=1), 1, 0)</f>
        <v>0</v>
      </c>
      <c r="I149">
        <f>IF(AND(B149=2, COUNTIFS($A$2:A149, A149, $B$2:B149, 2)=1), 1, 0)</f>
        <v>0</v>
      </c>
    </row>
    <row r="150" spans="1:9">
      <c r="A150" s="22">
        <v>77010000059</v>
      </c>
      <c r="B150" s="22">
        <v>1</v>
      </c>
      <c r="C150" s="23" t="s">
        <v>0</v>
      </c>
      <c r="D150" s="22">
        <v>5.1100000000000003</v>
      </c>
      <c r="E150" s="39">
        <v>12</v>
      </c>
      <c r="F150">
        <f>IF(COUNTIF($A$2:A150, A150)=1, 1, 0)</f>
        <v>0</v>
      </c>
      <c r="G150">
        <f>IF(AND(C150="Внутри сети", COUNTIFS($A$2:A150, A150, $C$2:C150, "Внутри сети")=1), 1, 0)</f>
        <v>0</v>
      </c>
      <c r="H150">
        <f>IF(AND(B150=6, COUNTIFS($A$2:A150, A150, $B$2:B150, 6)=1), 1, 0)</f>
        <v>0</v>
      </c>
      <c r="I150">
        <f>IF(AND(B150=2, COUNTIFS($A$2:A150, A150, $B$2:B150, 2)=1), 1, 0)</f>
        <v>0</v>
      </c>
    </row>
    <row r="151" spans="1:9">
      <c r="A151" s="22">
        <v>77010000052</v>
      </c>
      <c r="B151" s="22">
        <v>1</v>
      </c>
      <c r="C151" s="23" t="s">
        <v>0</v>
      </c>
      <c r="D151" s="22">
        <v>5.1100000000000003</v>
      </c>
      <c r="E151" s="39">
        <v>12</v>
      </c>
      <c r="F151">
        <f>IF(COUNTIF($A$2:A151, A151)=1, 1, 0)</f>
        <v>0</v>
      </c>
      <c r="G151">
        <f>IF(AND(C151="Внутри сети", COUNTIFS($A$2:A151, A151, $C$2:C151, "Внутри сети")=1), 1, 0)</f>
        <v>0</v>
      </c>
      <c r="H151">
        <f>IF(AND(B151=6, COUNTIFS($A$2:A151, A151, $B$2:B151, 6)=1), 1, 0)</f>
        <v>0</v>
      </c>
      <c r="I151">
        <f>IF(AND(B151=2, COUNTIFS($A$2:A151, A151, $B$2:B151, 2)=1), 1, 0)</f>
        <v>0</v>
      </c>
    </row>
    <row r="152" spans="1:9">
      <c r="A152" s="22">
        <v>77010000059</v>
      </c>
      <c r="B152" s="22">
        <v>1</v>
      </c>
      <c r="C152" s="23" t="s">
        <v>0</v>
      </c>
      <c r="D152" s="22">
        <v>5.1100000000000003</v>
      </c>
      <c r="E152" s="39">
        <v>12</v>
      </c>
      <c r="F152">
        <f>IF(COUNTIF($A$2:A152, A152)=1, 1, 0)</f>
        <v>0</v>
      </c>
      <c r="G152">
        <f>IF(AND(C152="Внутри сети", COUNTIFS($A$2:A152, A152, $C$2:C152, "Внутри сети")=1), 1, 0)</f>
        <v>0</v>
      </c>
      <c r="H152">
        <f>IF(AND(B152=6, COUNTIFS($A$2:A152, A152, $B$2:B152, 6)=1), 1, 0)</f>
        <v>0</v>
      </c>
      <c r="I152">
        <f>IF(AND(B152=2, COUNTIFS($A$2:A152, A152, $B$2:B152, 2)=1), 1, 0)</f>
        <v>0</v>
      </c>
    </row>
    <row r="153" spans="1:9">
      <c r="A153" s="22">
        <v>77010000068</v>
      </c>
      <c r="B153" s="22">
        <v>1</v>
      </c>
      <c r="C153" s="23" t="s">
        <v>0</v>
      </c>
      <c r="D153" s="22">
        <v>5.1100000000000003</v>
      </c>
      <c r="E153" s="39">
        <v>12</v>
      </c>
      <c r="F153">
        <f>IF(COUNTIF($A$2:A153, A153)=1, 1, 0)</f>
        <v>0</v>
      </c>
      <c r="G153">
        <f>IF(AND(C153="Внутри сети", COUNTIFS($A$2:A153, A153, $C$2:C153, "Внутри сети")=1), 1, 0)</f>
        <v>0</v>
      </c>
      <c r="H153">
        <f>IF(AND(B153=6, COUNTIFS($A$2:A153, A153, $B$2:B153, 6)=1), 1, 0)</f>
        <v>0</v>
      </c>
      <c r="I153">
        <f>IF(AND(B153=2, COUNTIFS($A$2:A153, A153, $B$2:B153, 2)=1), 1, 0)</f>
        <v>0</v>
      </c>
    </row>
    <row r="154" spans="1:9">
      <c r="A154" s="22">
        <v>77010000039</v>
      </c>
      <c r="B154" s="22">
        <v>1</v>
      </c>
      <c r="C154" s="23" t="s">
        <v>0</v>
      </c>
      <c r="D154" s="22">
        <v>5.1100000000000003</v>
      </c>
      <c r="E154" s="39">
        <v>12</v>
      </c>
      <c r="F154">
        <f>IF(COUNTIF($A$2:A154, A154)=1, 1, 0)</f>
        <v>0</v>
      </c>
      <c r="G154">
        <f>IF(AND(C154="Внутри сети", COUNTIFS($A$2:A154, A154, $C$2:C154, "Внутри сети")=1), 1, 0)</f>
        <v>0</v>
      </c>
      <c r="H154">
        <f>IF(AND(B154=6, COUNTIFS($A$2:A154, A154, $B$2:B154, 6)=1), 1, 0)</f>
        <v>0</v>
      </c>
      <c r="I154">
        <f>IF(AND(B154=2, COUNTIFS($A$2:A154, A154, $B$2:B154, 2)=1), 1, 0)</f>
        <v>0</v>
      </c>
    </row>
    <row r="155" spans="1:9">
      <c r="A155" s="22">
        <v>77010000041</v>
      </c>
      <c r="B155" s="22">
        <v>1</v>
      </c>
      <c r="C155" s="23" t="s">
        <v>0</v>
      </c>
      <c r="D155" s="22">
        <v>5.1100000000000003</v>
      </c>
      <c r="E155" s="39">
        <v>12</v>
      </c>
      <c r="F155">
        <f>IF(COUNTIF($A$2:A155, A155)=1, 1, 0)</f>
        <v>1</v>
      </c>
      <c r="G155">
        <f>IF(AND(C155="Внутри сети", COUNTIFS($A$2:A155, A155, $C$2:C155, "Внутри сети")=1), 1, 0)</f>
        <v>1</v>
      </c>
      <c r="H155">
        <f>IF(AND(B155=6, COUNTIFS($A$2:A155, A155, $B$2:B155, 6)=1), 1, 0)</f>
        <v>0</v>
      </c>
      <c r="I155">
        <f>IF(AND(B155=2, COUNTIFS($A$2:A155, A155, $B$2:B155, 2)=1), 1, 0)</f>
        <v>0</v>
      </c>
    </row>
    <row r="156" spans="1:9">
      <c r="A156" s="22">
        <v>77010000044</v>
      </c>
      <c r="B156" s="22">
        <v>1</v>
      </c>
      <c r="C156" s="23" t="s">
        <v>0</v>
      </c>
      <c r="D156" s="22">
        <v>5.1100000000000003</v>
      </c>
      <c r="E156" s="39">
        <v>12</v>
      </c>
      <c r="F156">
        <f>IF(COUNTIF($A$2:A156, A156)=1, 1, 0)</f>
        <v>1</v>
      </c>
      <c r="G156">
        <f>IF(AND(C156="Внутри сети", COUNTIFS($A$2:A156, A156, $C$2:C156, "Внутри сети")=1), 1, 0)</f>
        <v>1</v>
      </c>
      <c r="H156">
        <f>IF(AND(B156=6, COUNTIFS($A$2:A156, A156, $B$2:B156, 6)=1), 1, 0)</f>
        <v>0</v>
      </c>
      <c r="I156">
        <f>IF(AND(B156=2, COUNTIFS($A$2:A156, A156, $B$2:B156, 2)=1), 1, 0)</f>
        <v>0</v>
      </c>
    </row>
    <row r="157" spans="1:9">
      <c r="A157" s="22">
        <v>77010000091</v>
      </c>
      <c r="B157" s="22">
        <v>1</v>
      </c>
      <c r="C157" s="23" t="s">
        <v>0</v>
      </c>
      <c r="D157" s="22">
        <v>5.1100000000000003</v>
      </c>
      <c r="E157" s="39">
        <v>12</v>
      </c>
      <c r="F157">
        <f>IF(COUNTIF($A$2:A157, A157)=1, 1, 0)</f>
        <v>1</v>
      </c>
      <c r="G157">
        <f>IF(AND(C157="Внутри сети", COUNTIFS($A$2:A157, A157, $C$2:C157, "Внутри сети")=1), 1, 0)</f>
        <v>1</v>
      </c>
      <c r="H157">
        <f>IF(AND(B157=6, COUNTIFS($A$2:A157, A157, $B$2:B157, 6)=1), 1, 0)</f>
        <v>0</v>
      </c>
      <c r="I157">
        <f>IF(AND(B157=2, COUNTIFS($A$2:A157, A157, $B$2:B157, 2)=1), 1, 0)</f>
        <v>0</v>
      </c>
    </row>
    <row r="158" spans="1:9">
      <c r="A158" s="22">
        <v>77010000021</v>
      </c>
      <c r="B158" s="22">
        <v>1</v>
      </c>
      <c r="C158" s="23" t="s">
        <v>1</v>
      </c>
      <c r="D158" s="22">
        <v>14.87</v>
      </c>
      <c r="E158" s="39">
        <v>12</v>
      </c>
      <c r="F158">
        <f>IF(COUNTIF($A$2:A158, A158)=1, 1, 0)</f>
        <v>1</v>
      </c>
      <c r="G158">
        <f>IF(AND(C158="Внутри сети", COUNTIFS($A$2:A158, A158, $C$2:C158, "Внутри сети")=1), 1, 0)</f>
        <v>0</v>
      </c>
      <c r="H158">
        <f>IF(AND(B158=6, COUNTIFS($A$2:A158, A158, $B$2:B158, 6)=1), 1, 0)</f>
        <v>0</v>
      </c>
      <c r="I158">
        <f>IF(AND(B158=2, COUNTIFS($A$2:A158, A158, $B$2:B158, 2)=1), 1, 0)</f>
        <v>0</v>
      </c>
    </row>
    <row r="159" spans="1:9">
      <c r="A159" s="22">
        <v>77010000026</v>
      </c>
      <c r="B159" s="22">
        <v>1</v>
      </c>
      <c r="C159" s="23" t="s">
        <v>0</v>
      </c>
      <c r="D159" s="22">
        <v>5.1100000000000003</v>
      </c>
      <c r="E159" s="39">
        <v>12</v>
      </c>
      <c r="F159">
        <f>IF(COUNTIF($A$2:A159, A159)=1, 1, 0)</f>
        <v>1</v>
      </c>
      <c r="G159">
        <f>IF(AND(C159="Внутри сети", COUNTIFS($A$2:A159, A159, $C$2:C159, "Внутри сети")=1), 1, 0)</f>
        <v>1</v>
      </c>
      <c r="H159">
        <f>IF(AND(B159=6, COUNTIFS($A$2:A159, A159, $B$2:B159, 6)=1), 1, 0)</f>
        <v>0</v>
      </c>
      <c r="I159">
        <f>IF(AND(B159=2, COUNTIFS($A$2:A159, A159, $B$2:B159, 2)=1), 1, 0)</f>
        <v>0</v>
      </c>
    </row>
    <row r="160" spans="1:9">
      <c r="A160" s="22">
        <v>77010000029</v>
      </c>
      <c r="B160" s="22">
        <v>1</v>
      </c>
      <c r="C160" s="23" t="s">
        <v>1</v>
      </c>
      <c r="D160" s="22">
        <v>14.87</v>
      </c>
      <c r="E160" s="39">
        <v>12</v>
      </c>
      <c r="F160">
        <f>IF(COUNTIF($A$2:A160, A160)=1, 1, 0)</f>
        <v>1</v>
      </c>
      <c r="G160">
        <f>IF(AND(C160="Внутри сети", COUNTIFS($A$2:A160, A160, $C$2:C160, "Внутри сети")=1), 1, 0)</f>
        <v>0</v>
      </c>
      <c r="H160">
        <f>IF(AND(B160=6, COUNTIFS($A$2:A160, A160, $B$2:B160, 6)=1), 1, 0)</f>
        <v>0</v>
      </c>
      <c r="I160">
        <f>IF(AND(B160=2, COUNTIFS($A$2:A160, A160, $B$2:B160, 2)=1), 1, 0)</f>
        <v>0</v>
      </c>
    </row>
    <row r="161" spans="1:9">
      <c r="A161" s="22">
        <v>77010000038</v>
      </c>
      <c r="B161" s="22">
        <v>1</v>
      </c>
      <c r="C161" s="23" t="s">
        <v>0</v>
      </c>
      <c r="D161" s="22">
        <v>5.1100000000000003</v>
      </c>
      <c r="E161" s="39">
        <v>12</v>
      </c>
      <c r="F161">
        <f>IF(COUNTIF($A$2:A161, A161)=1, 1, 0)</f>
        <v>1</v>
      </c>
      <c r="G161">
        <f>IF(AND(C161="Внутри сети", COUNTIFS($A$2:A161, A161, $C$2:C161, "Внутри сети")=1), 1, 0)</f>
        <v>1</v>
      </c>
      <c r="H161">
        <f>IF(AND(B161=6, COUNTIFS($A$2:A161, A161, $B$2:B161, 6)=1), 1, 0)</f>
        <v>0</v>
      </c>
      <c r="I161">
        <f>IF(AND(B161=2, COUNTIFS($A$2:A161, A161, $B$2:B161, 2)=1), 1, 0)</f>
        <v>0</v>
      </c>
    </row>
    <row r="162" spans="1:9">
      <c r="A162" s="22">
        <v>77010000053</v>
      </c>
      <c r="B162" s="22">
        <v>1</v>
      </c>
      <c r="C162" s="23" t="s">
        <v>0</v>
      </c>
      <c r="D162" s="22">
        <v>5.1100000000000003</v>
      </c>
      <c r="E162" s="39">
        <v>12</v>
      </c>
      <c r="F162">
        <f>IF(COUNTIF($A$2:A162, A162)=1, 1, 0)</f>
        <v>0</v>
      </c>
      <c r="G162">
        <f>IF(AND(C162="Внутри сети", COUNTIFS($A$2:A162, A162, $C$2:C162, "Внутри сети")=1), 1, 0)</f>
        <v>0</v>
      </c>
      <c r="H162">
        <f>IF(AND(B162=6, COUNTIFS($A$2:A162, A162, $B$2:B162, 6)=1), 1, 0)</f>
        <v>0</v>
      </c>
      <c r="I162">
        <f>IF(AND(B162=2, COUNTIFS($A$2:A162, A162, $B$2:B162, 2)=1), 1, 0)</f>
        <v>0</v>
      </c>
    </row>
    <row r="163" spans="1:9">
      <c r="A163" s="22">
        <v>77010000057</v>
      </c>
      <c r="B163" s="22">
        <v>1</v>
      </c>
      <c r="C163" s="23" t="s">
        <v>0</v>
      </c>
      <c r="D163" s="22">
        <v>5.1100000000000003</v>
      </c>
      <c r="E163" s="39">
        <v>12</v>
      </c>
      <c r="F163">
        <f>IF(COUNTIF($A$2:A163, A163)=1, 1, 0)</f>
        <v>0</v>
      </c>
      <c r="G163">
        <f>IF(AND(C163="Внутри сети", COUNTIFS($A$2:A163, A163, $C$2:C163, "Внутри сети")=1), 1, 0)</f>
        <v>0</v>
      </c>
      <c r="H163">
        <f>IF(AND(B163=6, COUNTIFS($A$2:A163, A163, $B$2:B163, 6)=1), 1, 0)</f>
        <v>0</v>
      </c>
      <c r="I163">
        <f>IF(AND(B163=2, COUNTIFS($A$2:A163, A163, $B$2:B163, 2)=1), 1, 0)</f>
        <v>0</v>
      </c>
    </row>
    <row r="164" spans="1:9">
      <c r="A164" s="22">
        <v>77010000060</v>
      </c>
      <c r="B164" s="22">
        <v>1</v>
      </c>
      <c r="C164" s="23" t="s">
        <v>0</v>
      </c>
      <c r="D164" s="22">
        <v>5.1100000000000003</v>
      </c>
      <c r="E164" s="39">
        <v>12</v>
      </c>
      <c r="F164">
        <f>IF(COUNTIF($A$2:A164, A164)=1, 1, 0)</f>
        <v>0</v>
      </c>
      <c r="G164">
        <f>IF(AND(C164="Внутри сети", COUNTIFS($A$2:A164, A164, $C$2:C164, "Внутри сети")=1), 1, 0)</f>
        <v>0</v>
      </c>
      <c r="H164">
        <f>IF(AND(B164=6, COUNTIFS($A$2:A164, A164, $B$2:B164, 6)=1), 1, 0)</f>
        <v>0</v>
      </c>
      <c r="I164">
        <f>IF(AND(B164=2, COUNTIFS($A$2:A164, A164, $B$2:B164, 2)=1), 1, 0)</f>
        <v>0</v>
      </c>
    </row>
    <row r="165" spans="1:9">
      <c r="A165" s="22">
        <v>77010000080</v>
      </c>
      <c r="B165" s="22">
        <v>1</v>
      </c>
      <c r="C165" s="23" t="s">
        <v>0</v>
      </c>
      <c r="D165" s="22">
        <v>5.1100000000000003</v>
      </c>
      <c r="E165" s="39">
        <v>12</v>
      </c>
      <c r="F165">
        <f>IF(COUNTIF($A$2:A165, A165)=1, 1, 0)</f>
        <v>0</v>
      </c>
      <c r="G165">
        <f>IF(AND(C165="Внутри сети", COUNTIFS($A$2:A165, A165, $C$2:C165, "Внутри сети")=1), 1, 0)</f>
        <v>0</v>
      </c>
      <c r="H165">
        <f>IF(AND(B165=6, COUNTIFS($A$2:A165, A165, $B$2:B165, 6)=1), 1, 0)</f>
        <v>0</v>
      </c>
      <c r="I165">
        <f>IF(AND(B165=2, COUNTIFS($A$2:A165, A165, $B$2:B165, 2)=1), 1, 0)</f>
        <v>0</v>
      </c>
    </row>
    <row r="166" spans="1:9">
      <c r="A166" s="22">
        <v>77010000020</v>
      </c>
      <c r="B166" s="22">
        <v>1</v>
      </c>
      <c r="C166" s="23" t="s">
        <v>0</v>
      </c>
      <c r="D166" s="22">
        <v>5.54</v>
      </c>
      <c r="E166" s="39">
        <v>13</v>
      </c>
      <c r="F166">
        <f>IF(COUNTIF($A$2:A166, A166)=1, 1, 0)</f>
        <v>1</v>
      </c>
      <c r="G166">
        <f>IF(AND(C166="Внутри сети", COUNTIFS($A$2:A166, A166, $C$2:C166, "Внутри сети")=1), 1, 0)</f>
        <v>1</v>
      </c>
      <c r="H166">
        <f>IF(AND(B166=6, COUNTIFS($A$2:A166, A166, $B$2:B166, 6)=1), 1, 0)</f>
        <v>0</v>
      </c>
      <c r="I166">
        <f>IF(AND(B166=2, COUNTIFS($A$2:A166, A166, $B$2:B166, 2)=1), 1, 0)</f>
        <v>0</v>
      </c>
    </row>
    <row r="167" spans="1:9">
      <c r="A167" s="22">
        <v>77010000025</v>
      </c>
      <c r="B167" s="22">
        <v>1</v>
      </c>
      <c r="C167" s="23" t="s">
        <v>0</v>
      </c>
      <c r="D167" s="22">
        <v>5.54</v>
      </c>
      <c r="E167" s="39">
        <v>13</v>
      </c>
      <c r="F167">
        <f>IF(COUNTIF($A$2:A167, A167)=1, 1, 0)</f>
        <v>1</v>
      </c>
      <c r="G167">
        <f>IF(AND(C167="Внутри сети", COUNTIFS($A$2:A167, A167, $C$2:C167, "Внутри сети")=1), 1, 0)</f>
        <v>1</v>
      </c>
      <c r="H167">
        <f>IF(AND(B167=6, COUNTIFS($A$2:A167, A167, $B$2:B167, 6)=1), 1, 0)</f>
        <v>0</v>
      </c>
      <c r="I167">
        <f>IF(AND(B167=2, COUNTIFS($A$2:A167, A167, $B$2:B167, 2)=1), 1, 0)</f>
        <v>0</v>
      </c>
    </row>
    <row r="168" spans="1:9">
      <c r="A168" s="22">
        <v>77010000034</v>
      </c>
      <c r="B168" s="22">
        <v>1</v>
      </c>
      <c r="C168" s="23" t="s">
        <v>0</v>
      </c>
      <c r="D168" s="22">
        <v>5.54</v>
      </c>
      <c r="E168" s="39">
        <v>13</v>
      </c>
      <c r="F168">
        <f>IF(COUNTIF($A$2:A168, A168)=1, 1, 0)</f>
        <v>0</v>
      </c>
      <c r="G168">
        <f>IF(AND(C168="Внутри сети", COUNTIFS($A$2:A168, A168, $C$2:C168, "Внутри сети")=1), 1, 0)</f>
        <v>0</v>
      </c>
      <c r="H168">
        <f>IF(AND(B168=6, COUNTIFS($A$2:A168, A168, $B$2:B168, 6)=1), 1, 0)</f>
        <v>0</v>
      </c>
      <c r="I168">
        <f>IF(AND(B168=2, COUNTIFS($A$2:A168, A168, $B$2:B168, 2)=1), 1, 0)</f>
        <v>0</v>
      </c>
    </row>
    <row r="169" spans="1:9">
      <c r="A169" s="22">
        <v>77010000040</v>
      </c>
      <c r="B169" s="22">
        <v>1</v>
      </c>
      <c r="C169" s="23" t="s">
        <v>0</v>
      </c>
      <c r="D169" s="22">
        <v>5.54</v>
      </c>
      <c r="E169" s="39">
        <v>13</v>
      </c>
      <c r="F169">
        <f>IF(COUNTIF($A$2:A169, A169)=1, 1, 0)</f>
        <v>0</v>
      </c>
      <c r="G169">
        <f>IF(AND(C169="Внутри сети", COUNTIFS($A$2:A169, A169, $C$2:C169, "Внутри сети")=1), 1, 0)</f>
        <v>0</v>
      </c>
      <c r="H169">
        <f>IF(AND(B169=6, COUNTIFS($A$2:A169, A169, $B$2:B169, 6)=1), 1, 0)</f>
        <v>0</v>
      </c>
      <c r="I169">
        <f>IF(AND(B169=2, COUNTIFS($A$2:A169, A169, $B$2:B169, 2)=1), 1, 0)</f>
        <v>0</v>
      </c>
    </row>
    <row r="170" spans="1:9">
      <c r="A170" s="22">
        <v>77010000044</v>
      </c>
      <c r="B170" s="22">
        <v>1</v>
      </c>
      <c r="C170" s="23" t="s">
        <v>0</v>
      </c>
      <c r="D170" s="22">
        <v>5.54</v>
      </c>
      <c r="E170" s="39">
        <v>13</v>
      </c>
      <c r="F170">
        <f>IF(COUNTIF($A$2:A170, A170)=1, 1, 0)</f>
        <v>0</v>
      </c>
      <c r="G170">
        <f>IF(AND(C170="Внутри сети", COUNTIFS($A$2:A170, A170, $C$2:C170, "Внутри сети")=1), 1, 0)</f>
        <v>0</v>
      </c>
      <c r="H170">
        <f>IF(AND(B170=6, COUNTIFS($A$2:A170, A170, $B$2:B170, 6)=1), 1, 0)</f>
        <v>0</v>
      </c>
      <c r="I170">
        <f>IF(AND(B170=2, COUNTIFS($A$2:A170, A170, $B$2:B170, 2)=1), 1, 0)</f>
        <v>0</v>
      </c>
    </row>
    <row r="171" spans="1:9">
      <c r="A171" s="22">
        <v>77010000075</v>
      </c>
      <c r="B171" s="22">
        <v>1</v>
      </c>
      <c r="C171" s="23" t="s">
        <v>0</v>
      </c>
      <c r="D171" s="22">
        <v>5.54</v>
      </c>
      <c r="E171" s="39">
        <v>13</v>
      </c>
      <c r="F171">
        <f>IF(COUNTIF($A$2:A171, A171)=1, 1, 0)</f>
        <v>0</v>
      </c>
      <c r="G171">
        <f>IF(AND(C171="Внутри сети", COUNTIFS($A$2:A171, A171, $C$2:C171, "Внутри сети")=1), 1, 0)</f>
        <v>0</v>
      </c>
      <c r="H171">
        <f>IF(AND(B171=6, COUNTIFS($A$2:A171, A171, $B$2:B171, 6)=1), 1, 0)</f>
        <v>0</v>
      </c>
      <c r="I171">
        <f>IF(AND(B171=2, COUNTIFS($A$2:A171, A171, $B$2:B171, 2)=1), 1, 0)</f>
        <v>0</v>
      </c>
    </row>
    <row r="172" spans="1:9">
      <c r="A172" s="22">
        <v>77010000050</v>
      </c>
      <c r="B172" s="22">
        <v>1</v>
      </c>
      <c r="C172" s="23" t="s">
        <v>0</v>
      </c>
      <c r="D172" s="22">
        <v>5.97</v>
      </c>
      <c r="E172" s="39">
        <v>14</v>
      </c>
      <c r="F172">
        <f>IF(COUNTIF($A$2:A172, A172)=1, 1, 0)</f>
        <v>0</v>
      </c>
      <c r="G172">
        <f>IF(AND(C172="Внутри сети", COUNTIFS($A$2:A172, A172, $C$2:C172, "Внутри сети")=1), 1, 0)</f>
        <v>0</v>
      </c>
      <c r="H172">
        <f>IF(AND(B172=6, COUNTIFS($A$2:A172, A172, $B$2:B172, 6)=1), 1, 0)</f>
        <v>0</v>
      </c>
      <c r="I172">
        <f>IF(AND(B172=2, COUNTIFS($A$2:A172, A172, $B$2:B172, 2)=1), 1, 0)</f>
        <v>0</v>
      </c>
    </row>
    <row r="173" spans="1:9">
      <c r="A173" s="22">
        <v>77010000060</v>
      </c>
      <c r="B173" s="22">
        <v>1</v>
      </c>
      <c r="C173" s="23" t="s">
        <v>0</v>
      </c>
      <c r="D173" s="22">
        <v>5.97</v>
      </c>
      <c r="E173" s="39">
        <v>14</v>
      </c>
      <c r="F173">
        <f>IF(COUNTIF($A$2:A173, A173)=1, 1, 0)</f>
        <v>0</v>
      </c>
      <c r="G173">
        <f>IF(AND(C173="Внутри сети", COUNTIFS($A$2:A173, A173, $C$2:C173, "Внутри сети")=1), 1, 0)</f>
        <v>0</v>
      </c>
      <c r="H173">
        <f>IF(AND(B173=6, COUNTIFS($A$2:A173, A173, $B$2:B173, 6)=1), 1, 0)</f>
        <v>0</v>
      </c>
      <c r="I173">
        <f>IF(AND(B173=2, COUNTIFS($A$2:A173, A173, $B$2:B173, 2)=1), 1, 0)</f>
        <v>0</v>
      </c>
    </row>
    <row r="174" spans="1:9">
      <c r="A174" s="22">
        <v>77010000038</v>
      </c>
      <c r="B174" s="22">
        <v>1</v>
      </c>
      <c r="C174" s="23" t="s">
        <v>2</v>
      </c>
      <c r="D174" s="22">
        <v>14.87</v>
      </c>
      <c r="E174" s="39">
        <v>14</v>
      </c>
      <c r="F174">
        <f>IF(COUNTIF($A$2:A174, A174)=1, 1, 0)</f>
        <v>0</v>
      </c>
      <c r="G174">
        <f>IF(AND(C174="Внутри сети", COUNTIFS($A$2:A174, A174, $C$2:C174, "Внутри сети")=1), 1, 0)</f>
        <v>0</v>
      </c>
      <c r="H174">
        <f>IF(AND(B174=6, COUNTIFS($A$2:A174, A174, $B$2:B174, 6)=1), 1, 0)</f>
        <v>0</v>
      </c>
      <c r="I174">
        <f>IF(AND(B174=2, COUNTIFS($A$2:A174, A174, $B$2:B174, 2)=1), 1, 0)</f>
        <v>0</v>
      </c>
    </row>
    <row r="175" spans="1:9">
      <c r="A175" s="22">
        <v>77010000043</v>
      </c>
      <c r="B175" s="22">
        <v>1</v>
      </c>
      <c r="C175" s="23" t="s">
        <v>0</v>
      </c>
      <c r="D175" s="22">
        <v>5.97</v>
      </c>
      <c r="E175" s="39">
        <v>14</v>
      </c>
      <c r="F175">
        <f>IF(COUNTIF($A$2:A175, A175)=1, 1, 0)</f>
        <v>0</v>
      </c>
      <c r="G175">
        <f>IF(AND(C175="Внутри сети", COUNTIFS($A$2:A175, A175, $C$2:C175, "Внутри сети")=1), 1, 0)</f>
        <v>0</v>
      </c>
      <c r="H175">
        <f>IF(AND(B175=6, COUNTIFS($A$2:A175, A175, $B$2:B175, 6)=1), 1, 0)</f>
        <v>0</v>
      </c>
      <c r="I175">
        <f>IF(AND(B175=2, COUNTIFS($A$2:A175, A175, $B$2:B175, 2)=1), 1, 0)</f>
        <v>0</v>
      </c>
    </row>
    <row r="176" spans="1:9">
      <c r="A176" s="22">
        <v>77010000081</v>
      </c>
      <c r="B176" s="22">
        <v>1</v>
      </c>
      <c r="C176" s="23" t="s">
        <v>0</v>
      </c>
      <c r="D176" s="22">
        <v>5.97</v>
      </c>
      <c r="E176" s="39">
        <v>14</v>
      </c>
      <c r="F176">
        <f>IF(COUNTIF($A$2:A176, A176)=1, 1, 0)</f>
        <v>0</v>
      </c>
      <c r="G176">
        <f>IF(AND(C176="Внутри сети", COUNTIFS($A$2:A176, A176, $C$2:C176, "Внутри сети")=1), 1, 0)</f>
        <v>0</v>
      </c>
      <c r="H176">
        <f>IF(AND(B176=6, COUNTIFS($A$2:A176, A176, $B$2:B176, 6)=1), 1, 0)</f>
        <v>0</v>
      </c>
      <c r="I176">
        <f>IF(AND(B176=2, COUNTIFS($A$2:A176, A176, $B$2:B176, 2)=1), 1, 0)</f>
        <v>0</v>
      </c>
    </row>
    <row r="177" spans="1:9">
      <c r="A177" s="22">
        <v>77010000016</v>
      </c>
      <c r="B177" s="22">
        <v>1</v>
      </c>
      <c r="C177" s="23" t="s">
        <v>0</v>
      </c>
      <c r="D177" s="22">
        <v>5.97</v>
      </c>
      <c r="E177" s="39">
        <v>14</v>
      </c>
      <c r="F177">
        <f>IF(COUNTIF($A$2:A177, A177)=1, 1, 0)</f>
        <v>0</v>
      </c>
      <c r="G177">
        <f>IF(AND(C177="Внутри сети", COUNTIFS($A$2:A177, A177, $C$2:C177, "Внутри сети")=1), 1, 0)</f>
        <v>0</v>
      </c>
      <c r="H177">
        <f>IF(AND(B177=6, COUNTIFS($A$2:A177, A177, $B$2:B177, 6)=1), 1, 0)</f>
        <v>0</v>
      </c>
      <c r="I177">
        <f>IF(AND(B177=2, COUNTIFS($A$2:A177, A177, $B$2:B177, 2)=1), 1, 0)</f>
        <v>0</v>
      </c>
    </row>
    <row r="178" spans="1:9">
      <c r="A178" s="22">
        <v>77010000023</v>
      </c>
      <c r="B178" s="22">
        <v>1</v>
      </c>
      <c r="C178" s="23" t="s">
        <v>0</v>
      </c>
      <c r="D178" s="22">
        <v>5.97</v>
      </c>
      <c r="E178" s="39">
        <v>14</v>
      </c>
      <c r="F178">
        <f>IF(COUNTIF($A$2:A178, A178)=1, 1, 0)</f>
        <v>0</v>
      </c>
      <c r="G178">
        <f>IF(AND(C178="Внутри сети", COUNTIFS($A$2:A178, A178, $C$2:C178, "Внутри сети")=1), 1, 0)</f>
        <v>0</v>
      </c>
      <c r="H178">
        <f>IF(AND(B178=6, COUNTIFS($A$2:A178, A178, $B$2:B178, 6)=1), 1, 0)</f>
        <v>0</v>
      </c>
      <c r="I178">
        <f>IF(AND(B178=2, COUNTIFS($A$2:A178, A178, $B$2:B178, 2)=1), 1, 0)</f>
        <v>0</v>
      </c>
    </row>
    <row r="179" spans="1:9">
      <c r="A179" s="22">
        <v>77010000012</v>
      </c>
      <c r="B179" s="22">
        <v>1</v>
      </c>
      <c r="C179" s="23" t="s">
        <v>0</v>
      </c>
      <c r="D179" s="22">
        <v>5.97</v>
      </c>
      <c r="E179" s="39">
        <v>14</v>
      </c>
      <c r="F179">
        <f>IF(COUNTIF($A$2:A179, A179)=1, 1, 0)</f>
        <v>1</v>
      </c>
      <c r="G179">
        <f>IF(AND(C179="Внутри сети", COUNTIFS($A$2:A179, A179, $C$2:C179, "Внутри сети")=1), 1, 0)</f>
        <v>1</v>
      </c>
      <c r="H179">
        <f>IF(AND(B179=6, COUNTIFS($A$2:A179, A179, $B$2:B179, 6)=1), 1, 0)</f>
        <v>0</v>
      </c>
      <c r="I179">
        <f>IF(AND(B179=2, COUNTIFS($A$2:A179, A179, $B$2:B179, 2)=1), 1, 0)</f>
        <v>0</v>
      </c>
    </row>
    <row r="180" spans="1:9">
      <c r="A180" s="22">
        <v>77010000024</v>
      </c>
      <c r="B180" s="22">
        <v>1</v>
      </c>
      <c r="C180" s="23" t="s">
        <v>0</v>
      </c>
      <c r="D180" s="22">
        <v>5.97</v>
      </c>
      <c r="E180" s="39">
        <v>14</v>
      </c>
      <c r="F180">
        <f>IF(COUNTIF($A$2:A180, A180)=1, 1, 0)</f>
        <v>1</v>
      </c>
      <c r="G180">
        <f>IF(AND(C180="Внутри сети", COUNTIFS($A$2:A180, A180, $C$2:C180, "Внутри сети")=1), 1, 0)</f>
        <v>1</v>
      </c>
      <c r="H180">
        <f>IF(AND(B180=6, COUNTIFS($A$2:A180, A180, $B$2:B180, 6)=1), 1, 0)</f>
        <v>0</v>
      </c>
      <c r="I180">
        <f>IF(AND(B180=2, COUNTIFS($A$2:A180, A180, $B$2:B180, 2)=1), 1, 0)</f>
        <v>0</v>
      </c>
    </row>
    <row r="181" spans="1:9">
      <c r="A181" s="22">
        <v>77010000047</v>
      </c>
      <c r="B181" s="22">
        <v>1</v>
      </c>
      <c r="C181" s="23" t="s">
        <v>0</v>
      </c>
      <c r="D181" s="22">
        <v>6.39</v>
      </c>
      <c r="E181" s="39">
        <v>15</v>
      </c>
      <c r="F181">
        <f>IF(COUNTIF($A$2:A181, A181)=1, 1, 0)</f>
        <v>0</v>
      </c>
      <c r="G181">
        <f>IF(AND(C181="Внутри сети", COUNTIFS($A$2:A181, A181, $C$2:C181, "Внутри сети")=1), 1, 0)</f>
        <v>0</v>
      </c>
      <c r="H181">
        <f>IF(AND(B181=6, COUNTIFS($A$2:A181, A181, $B$2:B181, 6)=1), 1, 0)</f>
        <v>0</v>
      </c>
      <c r="I181">
        <f>IF(AND(B181=2, COUNTIFS($A$2:A181, A181, $B$2:B181, 2)=1), 1, 0)</f>
        <v>0</v>
      </c>
    </row>
    <row r="182" spans="1:9">
      <c r="A182" s="44">
        <v>77010000055</v>
      </c>
      <c r="B182" s="22">
        <v>1</v>
      </c>
      <c r="C182" s="23" t="s">
        <v>0</v>
      </c>
      <c r="D182" s="22">
        <v>6.39</v>
      </c>
      <c r="E182" s="39">
        <v>15</v>
      </c>
      <c r="F182">
        <f>IF(COUNTIF($A$2:A182, A182)=1, 1, 0)</f>
        <v>0</v>
      </c>
      <c r="G182">
        <f>IF(AND(C182="Внутри сети", COUNTIFS($A$2:A182, A182, $C$2:C182, "Внутри сети")=1), 1, 0)</f>
        <v>0</v>
      </c>
      <c r="H182">
        <f>IF(AND(B182=6, COUNTIFS($A$2:A182, A182, $B$2:B182, 6)=1), 1, 0)</f>
        <v>0</v>
      </c>
      <c r="I182">
        <f>IF(AND(B182=2, COUNTIFS($A$2:A182, A182, $B$2:B182, 2)=1), 1, 0)</f>
        <v>0</v>
      </c>
    </row>
    <row r="183" spans="1:9">
      <c r="A183" s="22">
        <v>77010000056</v>
      </c>
      <c r="B183" s="22">
        <v>1</v>
      </c>
      <c r="C183" s="23" t="s">
        <v>0</v>
      </c>
      <c r="D183" s="22">
        <v>6.39</v>
      </c>
      <c r="E183" s="39">
        <v>15</v>
      </c>
      <c r="F183">
        <f>IF(COUNTIF($A$2:A183, A183)=1, 1, 0)</f>
        <v>0</v>
      </c>
      <c r="G183">
        <f>IF(AND(C183="Внутри сети", COUNTIFS($A$2:A183, A183, $C$2:C183, "Внутри сети")=1), 1, 0)</f>
        <v>0</v>
      </c>
      <c r="H183">
        <f>IF(AND(B183=6, COUNTIFS($A$2:A183, A183, $B$2:B183, 6)=1), 1, 0)</f>
        <v>0</v>
      </c>
      <c r="I183">
        <f>IF(AND(B183=2, COUNTIFS($A$2:A183, A183, $B$2:B183, 2)=1), 1, 0)</f>
        <v>0</v>
      </c>
    </row>
    <row r="184" spans="1:9">
      <c r="A184" s="22">
        <v>77010000042</v>
      </c>
      <c r="B184" s="22">
        <v>1</v>
      </c>
      <c r="C184" s="23" t="s">
        <v>0</v>
      </c>
      <c r="D184" s="22">
        <v>6.39</v>
      </c>
      <c r="E184" s="39">
        <v>15</v>
      </c>
      <c r="F184">
        <f>IF(COUNTIF($A$2:A184, A184)=1, 1, 0)</f>
        <v>0</v>
      </c>
      <c r="G184">
        <f>IF(AND(C184="Внутри сети", COUNTIFS($A$2:A184, A184, $C$2:C184, "Внутри сети")=1), 1, 0)</f>
        <v>0</v>
      </c>
      <c r="H184">
        <f>IF(AND(B184=6, COUNTIFS($A$2:A184, A184, $B$2:B184, 6)=1), 1, 0)</f>
        <v>0</v>
      </c>
      <c r="I184">
        <f>IF(AND(B184=2, COUNTIFS($A$2:A184, A184, $B$2:B184, 2)=1), 1, 0)</f>
        <v>0</v>
      </c>
    </row>
    <row r="185" spans="1:9">
      <c r="A185" s="44">
        <v>77010000055</v>
      </c>
      <c r="B185" s="22">
        <v>1</v>
      </c>
      <c r="C185" s="23" t="s">
        <v>0</v>
      </c>
      <c r="D185" s="22">
        <v>6.39</v>
      </c>
      <c r="E185" s="39">
        <v>15</v>
      </c>
      <c r="F185">
        <f>IF(COUNTIF($A$2:A185, A185)=1, 1, 0)</f>
        <v>0</v>
      </c>
      <c r="G185">
        <f>IF(AND(C185="Внутри сети", COUNTIFS($A$2:A185, A185, $C$2:C185, "Внутри сети")=1), 1, 0)</f>
        <v>0</v>
      </c>
      <c r="H185">
        <f>IF(AND(B185=6, COUNTIFS($A$2:A185, A185, $B$2:B185, 6)=1), 1, 0)</f>
        <v>0</v>
      </c>
      <c r="I185">
        <f>IF(AND(B185=2, COUNTIFS($A$2:A185, A185, $B$2:B185, 2)=1), 1, 0)</f>
        <v>0</v>
      </c>
    </row>
    <row r="186" spans="1:9">
      <c r="A186" s="22">
        <v>77010000059</v>
      </c>
      <c r="B186" s="22">
        <v>1</v>
      </c>
      <c r="C186" s="23" t="s">
        <v>0</v>
      </c>
      <c r="D186" s="22">
        <v>6.39</v>
      </c>
      <c r="E186" s="39">
        <v>15</v>
      </c>
      <c r="F186">
        <f>IF(COUNTIF($A$2:A186, A186)=1, 1, 0)</f>
        <v>0</v>
      </c>
      <c r="G186">
        <f>IF(AND(C186="Внутри сети", COUNTIFS($A$2:A186, A186, $C$2:C186, "Внутри сети")=1), 1, 0)</f>
        <v>0</v>
      </c>
      <c r="H186">
        <f>IF(AND(B186=6, COUNTIFS($A$2:A186, A186, $B$2:B186, 6)=1), 1, 0)</f>
        <v>0</v>
      </c>
      <c r="I186">
        <f>IF(AND(B186=2, COUNTIFS($A$2:A186, A186, $B$2:B186, 2)=1), 1, 0)</f>
        <v>0</v>
      </c>
    </row>
    <row r="187" spans="1:9">
      <c r="A187" s="22">
        <v>77010000080</v>
      </c>
      <c r="B187" s="22">
        <v>1</v>
      </c>
      <c r="C187" s="23" t="s">
        <v>0</v>
      </c>
      <c r="D187" s="22">
        <v>6.39</v>
      </c>
      <c r="E187" s="39">
        <v>15</v>
      </c>
      <c r="F187">
        <f>IF(COUNTIF($A$2:A187, A187)=1, 1, 0)</f>
        <v>0</v>
      </c>
      <c r="G187">
        <f>IF(AND(C187="Внутри сети", COUNTIFS($A$2:A187, A187, $C$2:C187, "Внутри сети")=1), 1, 0)</f>
        <v>0</v>
      </c>
      <c r="H187">
        <f>IF(AND(B187=6, COUNTIFS($A$2:A187, A187, $B$2:B187, 6)=1), 1, 0)</f>
        <v>0</v>
      </c>
      <c r="I187">
        <f>IF(AND(B187=2, COUNTIFS($A$2:A187, A187, $B$2:B187, 2)=1), 1, 0)</f>
        <v>0</v>
      </c>
    </row>
    <row r="188" spans="1:9">
      <c r="A188" s="22">
        <v>77010000087</v>
      </c>
      <c r="B188" s="22">
        <v>1</v>
      </c>
      <c r="C188" s="23" t="s">
        <v>0</v>
      </c>
      <c r="D188" s="22">
        <v>6.39</v>
      </c>
      <c r="E188" s="39">
        <v>15</v>
      </c>
      <c r="F188">
        <f>IF(COUNTIF($A$2:A188, A188)=1, 1, 0)</f>
        <v>1</v>
      </c>
      <c r="G188">
        <f>IF(AND(C188="Внутри сети", COUNTIFS($A$2:A188, A188, $C$2:C188, "Внутри сети")=1), 1, 0)</f>
        <v>1</v>
      </c>
      <c r="H188">
        <f>IF(AND(B188=6, COUNTIFS($A$2:A188, A188, $B$2:B188, 6)=1), 1, 0)</f>
        <v>0</v>
      </c>
      <c r="I188">
        <f>IF(AND(B188=2, COUNTIFS($A$2:A188, A188, $B$2:B188, 2)=1), 1, 0)</f>
        <v>0</v>
      </c>
    </row>
    <row r="189" spans="1:9">
      <c r="A189" s="22">
        <v>77010000096</v>
      </c>
      <c r="B189" s="22">
        <v>1</v>
      </c>
      <c r="C189" s="23" t="s">
        <v>0</v>
      </c>
      <c r="D189" s="22">
        <v>6.39</v>
      </c>
      <c r="E189" s="39">
        <v>15</v>
      </c>
      <c r="F189">
        <f>IF(COUNTIF($A$2:A189, A189)=1, 1, 0)</f>
        <v>1</v>
      </c>
      <c r="G189">
        <f>IF(AND(C189="Внутри сети", COUNTIFS($A$2:A189, A189, $C$2:C189, "Внутри сети")=1), 1, 0)</f>
        <v>1</v>
      </c>
      <c r="H189">
        <f>IF(AND(B189=6, COUNTIFS($A$2:A189, A189, $B$2:B189, 6)=1), 1, 0)</f>
        <v>0</v>
      </c>
      <c r="I189">
        <f>IF(AND(B189=2, COUNTIFS($A$2:A189, A189, $B$2:B189, 2)=1), 1, 0)</f>
        <v>0</v>
      </c>
    </row>
    <row r="190" spans="1:9">
      <c r="A190" s="22">
        <v>77010000029</v>
      </c>
      <c r="B190" s="22">
        <v>1</v>
      </c>
      <c r="C190" s="23" t="s">
        <v>0</v>
      </c>
      <c r="D190" s="22">
        <v>6.39</v>
      </c>
      <c r="E190" s="39">
        <v>15</v>
      </c>
      <c r="F190">
        <f>IF(COUNTIF($A$2:A190, A190)=1, 1, 0)</f>
        <v>0</v>
      </c>
      <c r="G190">
        <f>IF(AND(C190="Внутри сети", COUNTIFS($A$2:A190, A190, $C$2:C190, "Внутри сети")=1), 1, 0)</f>
        <v>1</v>
      </c>
      <c r="H190">
        <f>IF(AND(B190=6, COUNTIFS($A$2:A190, A190, $B$2:B190, 6)=1), 1, 0)</f>
        <v>0</v>
      </c>
      <c r="I190">
        <f>IF(AND(B190=2, COUNTIFS($A$2:A190, A190, $B$2:B190, 2)=1), 1, 0)</f>
        <v>0</v>
      </c>
    </row>
    <row r="191" spans="1:9">
      <c r="A191" s="22">
        <v>77010000021</v>
      </c>
      <c r="B191" s="22">
        <v>1</v>
      </c>
      <c r="C191" s="23" t="s">
        <v>0</v>
      </c>
      <c r="D191" s="22">
        <v>6.39</v>
      </c>
      <c r="E191" s="39">
        <v>15</v>
      </c>
      <c r="F191">
        <f>IF(COUNTIF($A$2:A191, A191)=1, 1, 0)</f>
        <v>0</v>
      </c>
      <c r="G191">
        <f>IF(AND(C191="Внутри сети", COUNTIFS($A$2:A191, A191, $C$2:C191, "Внутри сети")=1), 1, 0)</f>
        <v>1</v>
      </c>
      <c r="H191">
        <f>IF(AND(B191=6, COUNTIFS($A$2:A191, A191, $B$2:B191, 6)=1), 1, 0)</f>
        <v>0</v>
      </c>
      <c r="I191">
        <f>IF(AND(B191=2, COUNTIFS($A$2:A191, A191, $B$2:B191, 2)=1), 1, 0)</f>
        <v>0</v>
      </c>
    </row>
    <row r="192" spans="1:9">
      <c r="A192" s="22">
        <v>77010000043</v>
      </c>
      <c r="B192" s="22">
        <v>1</v>
      </c>
      <c r="C192" s="23" t="s">
        <v>0</v>
      </c>
      <c r="D192" s="22">
        <v>6.39</v>
      </c>
      <c r="E192" s="39">
        <v>15</v>
      </c>
      <c r="F192">
        <f>IF(COUNTIF($A$2:A192, A192)=1, 1, 0)</f>
        <v>0</v>
      </c>
      <c r="G192">
        <f>IF(AND(C192="Внутри сети", COUNTIFS($A$2:A192, A192, $C$2:C192, "Внутри сети")=1), 1, 0)</f>
        <v>0</v>
      </c>
      <c r="H192">
        <f>IF(AND(B192=6, COUNTIFS($A$2:A192, A192, $B$2:B192, 6)=1), 1, 0)</f>
        <v>0</v>
      </c>
      <c r="I192">
        <f>IF(AND(B192=2, COUNTIFS($A$2:A192, A192, $B$2:B192, 2)=1), 1, 0)</f>
        <v>0</v>
      </c>
    </row>
    <row r="193" spans="1:9">
      <c r="A193" s="22">
        <v>77010000072</v>
      </c>
      <c r="B193" s="22">
        <v>1</v>
      </c>
      <c r="C193" s="23" t="s">
        <v>0</v>
      </c>
      <c r="D193" s="22">
        <v>6.39</v>
      </c>
      <c r="E193" s="39">
        <v>15</v>
      </c>
      <c r="F193">
        <f>IF(COUNTIF($A$2:A193, A193)=1, 1, 0)</f>
        <v>1</v>
      </c>
      <c r="G193">
        <f>IF(AND(C193="Внутри сети", COUNTIFS($A$2:A193, A193, $C$2:C193, "Внутри сети")=1), 1, 0)</f>
        <v>1</v>
      </c>
      <c r="H193">
        <f>IF(AND(B193=6, COUNTIFS($A$2:A193, A193, $B$2:B193, 6)=1), 1, 0)</f>
        <v>0</v>
      </c>
      <c r="I193">
        <f>IF(AND(B193=2, COUNTIFS($A$2:A193, A193, $B$2:B193, 2)=1), 1, 0)</f>
        <v>0</v>
      </c>
    </row>
    <row r="194" spans="1:9">
      <c r="A194" s="22">
        <v>77010000077</v>
      </c>
      <c r="B194" s="22">
        <v>1</v>
      </c>
      <c r="C194" s="23" t="s">
        <v>0</v>
      </c>
      <c r="D194" s="22">
        <v>6.39</v>
      </c>
      <c r="E194" s="39">
        <v>15</v>
      </c>
      <c r="F194">
        <f>IF(COUNTIF($A$2:A194, A194)=1, 1, 0)</f>
        <v>0</v>
      </c>
      <c r="G194">
        <f>IF(AND(C194="Внутри сети", COUNTIFS($A$2:A194, A194, $C$2:C194, "Внутри сети")=1), 1, 0)</f>
        <v>0</v>
      </c>
      <c r="H194">
        <f>IF(AND(B194=6, COUNTIFS($A$2:A194, A194, $B$2:B194, 6)=1), 1, 0)</f>
        <v>0</v>
      </c>
      <c r="I194">
        <f>IF(AND(B194=2, COUNTIFS($A$2:A194, A194, $B$2:B194, 2)=1), 1, 0)</f>
        <v>0</v>
      </c>
    </row>
    <row r="195" spans="1:9">
      <c r="A195" s="22">
        <v>77010000049</v>
      </c>
      <c r="B195" s="22">
        <v>1</v>
      </c>
      <c r="C195" s="23" t="s">
        <v>0</v>
      </c>
      <c r="D195" s="22">
        <v>6.82</v>
      </c>
      <c r="E195" s="39">
        <v>16</v>
      </c>
      <c r="F195">
        <f>IF(COUNTIF($A$2:A195, A195)=1, 1, 0)</f>
        <v>0</v>
      </c>
      <c r="G195">
        <f>IF(AND(C195="Внутри сети", COUNTIFS($A$2:A195, A195, $C$2:C195, "Внутри сети")=1), 1, 0)</f>
        <v>0</v>
      </c>
      <c r="H195">
        <f>IF(AND(B195=6, COUNTIFS($A$2:A195, A195, $B$2:B195, 6)=1), 1, 0)</f>
        <v>0</v>
      </c>
      <c r="I195">
        <f>IF(AND(B195=2, COUNTIFS($A$2:A195, A195, $B$2:B195, 2)=1), 1, 0)</f>
        <v>0</v>
      </c>
    </row>
    <row r="196" spans="1:9">
      <c r="A196" s="22">
        <v>77010000051</v>
      </c>
      <c r="B196" s="22">
        <v>1</v>
      </c>
      <c r="C196" s="23" t="s">
        <v>0</v>
      </c>
      <c r="D196" s="22">
        <v>6.82</v>
      </c>
      <c r="E196" s="39">
        <v>16</v>
      </c>
      <c r="F196">
        <f>IF(COUNTIF($A$2:A196, A196)=1, 1, 0)</f>
        <v>0</v>
      </c>
      <c r="G196">
        <f>IF(AND(C196="Внутри сети", COUNTIFS($A$2:A196, A196, $C$2:C196, "Внутри сети")=1), 1, 0)</f>
        <v>0</v>
      </c>
      <c r="H196">
        <f>IF(AND(B196=6, COUNTIFS($A$2:A196, A196, $B$2:B196, 6)=1), 1, 0)</f>
        <v>0</v>
      </c>
      <c r="I196">
        <f>IF(AND(B196=2, COUNTIFS($A$2:A196, A196, $B$2:B196, 2)=1), 1, 0)</f>
        <v>0</v>
      </c>
    </row>
    <row r="197" spans="1:9">
      <c r="A197" s="22">
        <v>77010000071</v>
      </c>
      <c r="B197" s="22">
        <v>1</v>
      </c>
      <c r="C197" s="23" t="s">
        <v>0</v>
      </c>
      <c r="D197" s="22">
        <v>6.82</v>
      </c>
      <c r="E197" s="39">
        <v>16</v>
      </c>
      <c r="F197">
        <f>IF(COUNTIF($A$2:A197, A197)=1, 1, 0)</f>
        <v>1</v>
      </c>
      <c r="G197">
        <f>IF(AND(C197="Внутри сети", COUNTIFS($A$2:A197, A197, $C$2:C197, "Внутри сети")=1), 1, 0)</f>
        <v>1</v>
      </c>
      <c r="H197">
        <f>IF(AND(B197=6, COUNTIFS($A$2:A197, A197, $B$2:B197, 6)=1), 1, 0)</f>
        <v>0</v>
      </c>
      <c r="I197">
        <f>IF(AND(B197=2, COUNTIFS($A$2:A197, A197, $B$2:B197, 2)=1), 1, 0)</f>
        <v>0</v>
      </c>
    </row>
    <row r="198" spans="1:9">
      <c r="A198" s="22">
        <v>77010000072</v>
      </c>
      <c r="B198" s="22">
        <v>1</v>
      </c>
      <c r="C198" s="23" t="s">
        <v>0</v>
      </c>
      <c r="D198" s="22">
        <v>6.82</v>
      </c>
      <c r="E198" s="39">
        <v>16</v>
      </c>
      <c r="F198">
        <f>IF(COUNTIF($A$2:A198, A198)=1, 1, 0)</f>
        <v>0</v>
      </c>
      <c r="G198">
        <f>IF(AND(C198="Внутри сети", COUNTIFS($A$2:A198, A198, $C$2:C198, "Внутри сети")=1), 1, 0)</f>
        <v>0</v>
      </c>
      <c r="H198">
        <f>IF(AND(B198=6, COUNTIFS($A$2:A198, A198, $B$2:B198, 6)=1), 1, 0)</f>
        <v>0</v>
      </c>
      <c r="I198">
        <f>IF(AND(B198=2, COUNTIFS($A$2:A198, A198, $B$2:B198, 2)=1), 1, 0)</f>
        <v>0</v>
      </c>
    </row>
    <row r="199" spans="1:9">
      <c r="A199" s="22">
        <v>77010000028</v>
      </c>
      <c r="B199" s="22">
        <v>1</v>
      </c>
      <c r="C199" s="23" t="s">
        <v>0</v>
      </c>
      <c r="D199" s="22">
        <v>6.82</v>
      </c>
      <c r="E199" s="39">
        <v>16</v>
      </c>
      <c r="F199">
        <f>IF(COUNTIF($A$2:A199, A199)=1, 1, 0)</f>
        <v>1</v>
      </c>
      <c r="G199">
        <f>IF(AND(C199="Внутри сети", COUNTIFS($A$2:A199, A199, $C$2:C199, "Внутри сети")=1), 1, 0)</f>
        <v>1</v>
      </c>
      <c r="H199">
        <f>IF(AND(B199=6, COUNTIFS($A$2:A199, A199, $B$2:B199, 6)=1), 1, 0)</f>
        <v>0</v>
      </c>
      <c r="I199">
        <f>IF(AND(B199=2, COUNTIFS($A$2:A199, A199, $B$2:B199, 2)=1), 1, 0)</f>
        <v>0</v>
      </c>
    </row>
    <row r="200" spans="1:9">
      <c r="A200" s="22">
        <v>77010000030</v>
      </c>
      <c r="B200" s="22">
        <v>1</v>
      </c>
      <c r="C200" s="23" t="s">
        <v>1</v>
      </c>
      <c r="D200" s="22">
        <v>14.87</v>
      </c>
      <c r="E200" s="39">
        <v>16</v>
      </c>
      <c r="F200">
        <f>IF(COUNTIF($A$2:A200, A200)=1, 1, 0)</f>
        <v>1</v>
      </c>
      <c r="G200">
        <f>IF(AND(C200="Внутри сети", COUNTIFS($A$2:A200, A200, $C$2:C200, "Внутри сети")=1), 1, 0)</f>
        <v>0</v>
      </c>
      <c r="H200">
        <f>IF(AND(B200=6, COUNTIFS($A$2:A200, A200, $B$2:B200, 6)=1), 1, 0)</f>
        <v>0</v>
      </c>
      <c r="I200">
        <f>IF(AND(B200=2, COUNTIFS($A$2:A200, A200, $B$2:B200, 2)=1), 1, 0)</f>
        <v>0</v>
      </c>
    </row>
    <row r="201" spans="1:9">
      <c r="A201" s="22">
        <v>77010000032</v>
      </c>
      <c r="B201" s="22">
        <v>1</v>
      </c>
      <c r="C201" s="23" t="s">
        <v>0</v>
      </c>
      <c r="D201" s="22">
        <v>6.82</v>
      </c>
      <c r="E201" s="39">
        <v>16</v>
      </c>
      <c r="F201">
        <f>IF(COUNTIF($A$2:A201, A201)=1, 1, 0)</f>
        <v>0</v>
      </c>
      <c r="G201">
        <f>IF(AND(C201="Внутри сети", COUNTIFS($A$2:A201, A201, $C$2:C201, "Внутри сети")=1), 1, 0)</f>
        <v>0</v>
      </c>
      <c r="H201">
        <f>IF(AND(B201=6, COUNTIFS($A$2:A201, A201, $B$2:B201, 6)=1), 1, 0)</f>
        <v>0</v>
      </c>
      <c r="I201">
        <f>IF(AND(B201=2, COUNTIFS($A$2:A201, A201, $B$2:B201, 2)=1), 1, 0)</f>
        <v>0</v>
      </c>
    </row>
    <row r="202" spans="1:9">
      <c r="A202" s="22">
        <v>77010000004</v>
      </c>
      <c r="B202" s="22">
        <v>1</v>
      </c>
      <c r="C202" s="23" t="s">
        <v>0</v>
      </c>
      <c r="D202" s="22">
        <v>6.82</v>
      </c>
      <c r="E202" s="39">
        <v>16</v>
      </c>
      <c r="F202">
        <f>IF(COUNTIF($A$2:A202, A202)=1, 1, 0)</f>
        <v>0</v>
      </c>
      <c r="G202">
        <f>IF(AND(C202="Внутри сети", COUNTIFS($A$2:A202, A202, $C$2:C202, "Внутри сети")=1), 1, 0)</f>
        <v>0</v>
      </c>
      <c r="H202">
        <f>IF(AND(B202=6, COUNTIFS($A$2:A202, A202, $B$2:B202, 6)=1), 1, 0)</f>
        <v>0</v>
      </c>
      <c r="I202">
        <f>IF(AND(B202=2, COUNTIFS($A$2:A202, A202, $B$2:B202, 2)=1), 1, 0)</f>
        <v>0</v>
      </c>
    </row>
    <row r="203" spans="1:9">
      <c r="A203" s="22">
        <v>77010000027</v>
      </c>
      <c r="B203" s="22">
        <v>1</v>
      </c>
      <c r="C203" s="23" t="s">
        <v>0</v>
      </c>
      <c r="D203" s="22">
        <v>6.82</v>
      </c>
      <c r="E203" s="39">
        <v>16</v>
      </c>
      <c r="F203">
        <f>IF(COUNTIF($A$2:A203, A203)=1, 1, 0)</f>
        <v>0</v>
      </c>
      <c r="G203">
        <f>IF(AND(C203="Внутри сети", COUNTIFS($A$2:A203, A203, $C$2:C203, "Внутри сети")=1), 1, 0)</f>
        <v>1</v>
      </c>
      <c r="H203">
        <f>IF(AND(B203=6, COUNTIFS($A$2:A203, A203, $B$2:B203, 6)=1), 1, 0)</f>
        <v>0</v>
      </c>
      <c r="I203">
        <f>IF(AND(B203=2, COUNTIFS($A$2:A203, A203, $B$2:B203, 2)=1), 1, 0)</f>
        <v>0</v>
      </c>
    </row>
    <row r="204" spans="1:9">
      <c r="A204" s="22">
        <v>77010000084</v>
      </c>
      <c r="B204" s="22">
        <v>1</v>
      </c>
      <c r="C204" s="23" t="s">
        <v>0</v>
      </c>
      <c r="D204" s="22">
        <v>6.82</v>
      </c>
      <c r="E204" s="39">
        <v>16</v>
      </c>
      <c r="F204">
        <f>IF(COUNTIF($A$2:A204, A204)=1, 1, 0)</f>
        <v>0</v>
      </c>
      <c r="G204">
        <f>IF(AND(C204="Внутри сети", COUNTIFS($A$2:A204, A204, $C$2:C204, "Внутри сети")=1), 1, 0)</f>
        <v>1</v>
      </c>
      <c r="H204">
        <f>IF(AND(B204=6, COUNTIFS($A$2:A204, A204, $B$2:B204, 6)=1), 1, 0)</f>
        <v>0</v>
      </c>
      <c r="I204">
        <f>IF(AND(B204=2, COUNTIFS($A$2:A204, A204, $B$2:B204, 2)=1), 1, 0)</f>
        <v>0</v>
      </c>
    </row>
    <row r="205" spans="1:9">
      <c r="A205" s="22">
        <v>77010000053</v>
      </c>
      <c r="B205" s="22">
        <v>1</v>
      </c>
      <c r="C205" s="23" t="s">
        <v>0</v>
      </c>
      <c r="D205" s="22">
        <v>7.25</v>
      </c>
      <c r="E205" s="39">
        <v>17</v>
      </c>
      <c r="F205">
        <f>IF(COUNTIF($A$2:A205, A205)=1, 1, 0)</f>
        <v>0</v>
      </c>
      <c r="G205">
        <f>IF(AND(C205="Внутри сети", COUNTIFS($A$2:A205, A205, $C$2:C205, "Внутри сети")=1), 1, 0)</f>
        <v>0</v>
      </c>
      <c r="H205">
        <f>IF(AND(B205=6, COUNTIFS($A$2:A205, A205, $B$2:B205, 6)=1), 1, 0)</f>
        <v>0</v>
      </c>
      <c r="I205">
        <f>IF(AND(B205=2, COUNTIFS($A$2:A205, A205, $B$2:B205, 2)=1), 1, 0)</f>
        <v>0</v>
      </c>
    </row>
    <row r="206" spans="1:9">
      <c r="A206" s="22">
        <v>77010000001</v>
      </c>
      <c r="B206" s="22">
        <v>1</v>
      </c>
      <c r="C206" s="23" t="s">
        <v>1</v>
      </c>
      <c r="D206" s="22">
        <v>14.87</v>
      </c>
      <c r="E206" s="39">
        <v>17</v>
      </c>
      <c r="F206">
        <f>IF(COUNTIF($A$2:A206, A206)=1, 1, 0)</f>
        <v>0</v>
      </c>
      <c r="G206">
        <f>IF(AND(C206="Внутри сети", COUNTIFS($A$2:A206, A206, $C$2:C206, "Внутри сети")=1), 1, 0)</f>
        <v>0</v>
      </c>
      <c r="H206">
        <f>IF(AND(B206=6, COUNTIFS($A$2:A206, A206, $B$2:B206, 6)=1), 1, 0)</f>
        <v>0</v>
      </c>
      <c r="I206">
        <f>IF(AND(B206=2, COUNTIFS($A$2:A206, A206, $B$2:B206, 2)=1), 1, 0)</f>
        <v>0</v>
      </c>
    </row>
    <row r="207" spans="1:9">
      <c r="A207" s="22">
        <v>77010000008</v>
      </c>
      <c r="B207" s="22">
        <v>1</v>
      </c>
      <c r="C207" s="23" t="s">
        <v>2</v>
      </c>
      <c r="D207" s="22">
        <v>14.87</v>
      </c>
      <c r="E207" s="39">
        <v>17</v>
      </c>
      <c r="F207">
        <f>IF(COUNTIF($A$2:A207, A207)=1, 1, 0)</f>
        <v>0</v>
      </c>
      <c r="G207">
        <f>IF(AND(C207="Внутри сети", COUNTIFS($A$2:A207, A207, $C$2:C207, "Внутри сети")=1), 1, 0)</f>
        <v>0</v>
      </c>
      <c r="H207">
        <f>IF(AND(B207=6, COUNTIFS($A$2:A207, A207, $B$2:B207, 6)=1), 1, 0)</f>
        <v>0</v>
      </c>
      <c r="I207">
        <f>IF(AND(B207=2, COUNTIFS($A$2:A207, A207, $B$2:B207, 2)=1), 1, 0)</f>
        <v>0</v>
      </c>
    </row>
    <row r="208" spans="1:9">
      <c r="A208" s="22">
        <v>77010000019</v>
      </c>
      <c r="B208" s="22">
        <v>1</v>
      </c>
      <c r="C208" s="23" t="s">
        <v>0</v>
      </c>
      <c r="D208" s="22">
        <v>7.25</v>
      </c>
      <c r="E208" s="39">
        <v>17</v>
      </c>
      <c r="F208">
        <f>IF(COUNTIF($A$2:A208, A208)=1, 1, 0)</f>
        <v>1</v>
      </c>
      <c r="G208">
        <f>IF(AND(C208="Внутри сети", COUNTIFS($A$2:A208, A208, $C$2:C208, "Внутри сети")=1), 1, 0)</f>
        <v>1</v>
      </c>
      <c r="H208">
        <f>IF(AND(B208=6, COUNTIFS($A$2:A208, A208, $B$2:B208, 6)=1), 1, 0)</f>
        <v>0</v>
      </c>
      <c r="I208">
        <f>IF(AND(B208=2, COUNTIFS($A$2:A208, A208, $B$2:B208, 2)=1), 1, 0)</f>
        <v>0</v>
      </c>
    </row>
    <row r="209" spans="1:9">
      <c r="A209" s="22">
        <v>77010000038</v>
      </c>
      <c r="B209" s="22">
        <v>1</v>
      </c>
      <c r="C209" s="23" t="s">
        <v>0</v>
      </c>
      <c r="D209" s="22">
        <v>7.25</v>
      </c>
      <c r="E209" s="39">
        <v>17</v>
      </c>
      <c r="F209">
        <f>IF(COUNTIF($A$2:A209, A209)=1, 1, 0)</f>
        <v>0</v>
      </c>
      <c r="G209">
        <f>IF(AND(C209="Внутри сети", COUNTIFS($A$2:A209, A209, $C$2:C209, "Внутри сети")=1), 1, 0)</f>
        <v>0</v>
      </c>
      <c r="H209">
        <f>IF(AND(B209=6, COUNTIFS($A$2:A209, A209, $B$2:B209, 6)=1), 1, 0)</f>
        <v>0</v>
      </c>
      <c r="I209">
        <f>IF(AND(B209=2, COUNTIFS($A$2:A209, A209, $B$2:B209, 2)=1), 1, 0)</f>
        <v>0</v>
      </c>
    </row>
    <row r="210" spans="1:9">
      <c r="A210" s="22">
        <v>77010000028</v>
      </c>
      <c r="B210" s="22">
        <v>1</v>
      </c>
      <c r="C210" s="23" t="s">
        <v>0</v>
      </c>
      <c r="D210" s="22">
        <v>7.25</v>
      </c>
      <c r="E210" s="39">
        <v>17</v>
      </c>
      <c r="F210">
        <f>IF(COUNTIF($A$2:A210, A210)=1, 1, 0)</f>
        <v>0</v>
      </c>
      <c r="G210">
        <f>IF(AND(C210="Внутри сети", COUNTIFS($A$2:A210, A210, $C$2:C210, "Внутри сети")=1), 1, 0)</f>
        <v>0</v>
      </c>
      <c r="H210">
        <f>IF(AND(B210=6, COUNTIFS($A$2:A210, A210, $B$2:B210, 6)=1), 1, 0)</f>
        <v>0</v>
      </c>
      <c r="I210">
        <f>IF(AND(B210=2, COUNTIFS($A$2:A210, A210, $B$2:B210, 2)=1), 1, 0)</f>
        <v>0</v>
      </c>
    </row>
    <row r="211" spans="1:9">
      <c r="A211" s="22">
        <v>77010000037</v>
      </c>
      <c r="B211" s="22">
        <v>1</v>
      </c>
      <c r="C211" s="23" t="s">
        <v>0</v>
      </c>
      <c r="D211" s="22">
        <v>7.25</v>
      </c>
      <c r="E211" s="39">
        <v>17</v>
      </c>
      <c r="F211">
        <f>IF(COUNTIF($A$2:A211, A211)=1, 1, 0)</f>
        <v>0</v>
      </c>
      <c r="G211">
        <f>IF(AND(C211="Внутри сети", COUNTIFS($A$2:A211, A211, $C$2:C211, "Внутри сети")=1), 1, 0)</f>
        <v>0</v>
      </c>
      <c r="H211">
        <f>IF(AND(B211=6, COUNTIFS($A$2:A211, A211, $B$2:B211, 6)=1), 1, 0)</f>
        <v>0</v>
      </c>
      <c r="I211">
        <f>IF(AND(B211=2, COUNTIFS($A$2:A211, A211, $B$2:B211, 2)=1), 1, 0)</f>
        <v>0</v>
      </c>
    </row>
    <row r="212" spans="1:9">
      <c r="A212" s="22">
        <v>77010000079</v>
      </c>
      <c r="B212" s="22">
        <v>1</v>
      </c>
      <c r="C212" s="23" t="s">
        <v>2</v>
      </c>
      <c r="D212" s="22">
        <v>14.87</v>
      </c>
      <c r="E212" s="39">
        <v>18</v>
      </c>
      <c r="F212">
        <f>IF(COUNTIF($A$2:A212, A212)=1, 1, 0)</f>
        <v>0</v>
      </c>
      <c r="G212">
        <f>IF(AND(C212="Внутри сети", COUNTIFS($A$2:A212, A212, $C$2:C212, "Внутри сети")=1), 1, 0)</f>
        <v>0</v>
      </c>
      <c r="H212">
        <f>IF(AND(B212=6, COUNTIFS($A$2:A212, A212, $B$2:B212, 6)=1), 1, 0)</f>
        <v>0</v>
      </c>
      <c r="I212">
        <f>IF(AND(B212=2, COUNTIFS($A$2:A212, A212, $B$2:B212, 2)=1), 1, 0)</f>
        <v>0</v>
      </c>
    </row>
    <row r="213" spans="1:9">
      <c r="A213" s="22">
        <v>77010000024</v>
      </c>
      <c r="B213" s="22">
        <v>1</v>
      </c>
      <c r="C213" s="23" t="s">
        <v>0</v>
      </c>
      <c r="D213" s="22">
        <v>7.67</v>
      </c>
      <c r="E213" s="39">
        <v>18</v>
      </c>
      <c r="F213">
        <f>IF(COUNTIF($A$2:A213, A213)=1, 1, 0)</f>
        <v>0</v>
      </c>
      <c r="G213">
        <f>IF(AND(C213="Внутри сети", COUNTIFS($A$2:A213, A213, $C$2:C213, "Внутри сети")=1), 1, 0)</f>
        <v>0</v>
      </c>
      <c r="H213">
        <f>IF(AND(B213=6, COUNTIFS($A$2:A213, A213, $B$2:B213, 6)=1), 1, 0)</f>
        <v>0</v>
      </c>
      <c r="I213">
        <f>IF(AND(B213=2, COUNTIFS($A$2:A213, A213, $B$2:B213, 2)=1), 1, 0)</f>
        <v>0</v>
      </c>
    </row>
    <row r="214" spans="1:9">
      <c r="A214" s="22">
        <v>77010000041</v>
      </c>
      <c r="B214" s="22">
        <v>1</v>
      </c>
      <c r="C214" s="23" t="s">
        <v>0</v>
      </c>
      <c r="D214" s="22">
        <v>7.67</v>
      </c>
      <c r="E214" s="39">
        <v>18</v>
      </c>
      <c r="F214">
        <f>IF(COUNTIF($A$2:A214, A214)=1, 1, 0)</f>
        <v>0</v>
      </c>
      <c r="G214">
        <f>IF(AND(C214="Внутри сети", COUNTIFS($A$2:A214, A214, $C$2:C214, "Внутри сети")=1), 1, 0)</f>
        <v>0</v>
      </c>
      <c r="H214">
        <f>IF(AND(B214=6, COUNTIFS($A$2:A214, A214, $B$2:B214, 6)=1), 1, 0)</f>
        <v>0</v>
      </c>
      <c r="I214">
        <f>IF(AND(B214=2, COUNTIFS($A$2:A214, A214, $B$2:B214, 2)=1), 1, 0)</f>
        <v>0</v>
      </c>
    </row>
    <row r="215" spans="1:9">
      <c r="A215" s="22">
        <v>77010000022</v>
      </c>
      <c r="B215" s="22">
        <v>1</v>
      </c>
      <c r="C215" s="23" t="s">
        <v>0</v>
      </c>
      <c r="D215" s="22">
        <v>7.67</v>
      </c>
      <c r="E215" s="39">
        <v>18</v>
      </c>
      <c r="F215">
        <f>IF(COUNTIF($A$2:A215, A215)=1, 1, 0)</f>
        <v>0</v>
      </c>
      <c r="G215">
        <f>IF(AND(C215="Внутри сети", COUNTIFS($A$2:A215, A215, $C$2:C215, "Внутри сети")=1), 1, 0)</f>
        <v>0</v>
      </c>
      <c r="H215">
        <f>IF(AND(B215=6, COUNTIFS($A$2:A215, A215, $B$2:B215, 6)=1), 1, 0)</f>
        <v>0</v>
      </c>
      <c r="I215">
        <f>IF(AND(B215=2, COUNTIFS($A$2:A215, A215, $B$2:B215, 2)=1), 1, 0)</f>
        <v>0</v>
      </c>
    </row>
    <row r="216" spans="1:9">
      <c r="A216" s="22">
        <v>77010000033</v>
      </c>
      <c r="B216" s="22">
        <v>1</v>
      </c>
      <c r="C216" s="23" t="s">
        <v>1</v>
      </c>
      <c r="D216" s="22">
        <v>14.87</v>
      </c>
      <c r="E216" s="39">
        <v>18</v>
      </c>
      <c r="F216">
        <f>IF(COUNTIF($A$2:A216, A216)=1, 1, 0)</f>
        <v>0</v>
      </c>
      <c r="G216">
        <f>IF(AND(C216="Внутри сети", COUNTIFS($A$2:A216, A216, $C$2:C216, "Внутри сети")=1), 1, 0)</f>
        <v>0</v>
      </c>
      <c r="H216">
        <f>IF(AND(B216=6, COUNTIFS($A$2:A216, A216, $B$2:B216, 6)=1), 1, 0)</f>
        <v>0</v>
      </c>
      <c r="I216">
        <f>IF(AND(B216=2, COUNTIFS($A$2:A216, A216, $B$2:B216, 2)=1), 1, 0)</f>
        <v>0</v>
      </c>
    </row>
    <row r="217" spans="1:9">
      <c r="A217" s="22">
        <v>77010000058</v>
      </c>
      <c r="B217" s="22">
        <v>1</v>
      </c>
      <c r="C217" s="23" t="s">
        <v>0</v>
      </c>
      <c r="D217" s="22">
        <v>7.67</v>
      </c>
      <c r="E217" s="39">
        <v>18</v>
      </c>
      <c r="F217">
        <f>IF(COUNTIF($A$2:A217, A217)=1, 1, 0)</f>
        <v>0</v>
      </c>
      <c r="G217">
        <f>IF(AND(C217="Внутри сети", COUNTIFS($A$2:A217, A217, $C$2:C217, "Внутри сети")=1), 1, 0)</f>
        <v>0</v>
      </c>
      <c r="H217">
        <f>IF(AND(B217=6, COUNTIFS($A$2:A217, A217, $B$2:B217, 6)=1), 1, 0)</f>
        <v>0</v>
      </c>
      <c r="I217">
        <f>IF(AND(B217=2, COUNTIFS($A$2:A217, A217, $B$2:B217, 2)=1), 1, 0)</f>
        <v>0</v>
      </c>
    </row>
    <row r="218" spans="1:9">
      <c r="A218" s="22">
        <v>77010000062</v>
      </c>
      <c r="B218" s="22">
        <v>1</v>
      </c>
      <c r="C218" s="23" t="s">
        <v>0</v>
      </c>
      <c r="D218" s="22">
        <v>8.1</v>
      </c>
      <c r="E218" s="39">
        <v>19</v>
      </c>
      <c r="F218">
        <f>IF(COUNTIF($A$2:A218, A218)=1, 1, 0)</f>
        <v>0</v>
      </c>
      <c r="G218">
        <f>IF(AND(C218="Внутри сети", COUNTIFS($A$2:A218, A218, $C$2:C218, "Внутри сети")=1), 1, 0)</f>
        <v>0</v>
      </c>
      <c r="H218">
        <f>IF(AND(B218=6, COUNTIFS($A$2:A218, A218, $B$2:B218, 6)=1), 1, 0)</f>
        <v>0</v>
      </c>
      <c r="I218">
        <f>IF(AND(B218=2, COUNTIFS($A$2:A218, A218, $B$2:B218, 2)=1), 1, 0)</f>
        <v>0</v>
      </c>
    </row>
    <row r="219" spans="1:9">
      <c r="A219" s="22">
        <v>77010000069</v>
      </c>
      <c r="B219" s="22">
        <v>1</v>
      </c>
      <c r="C219" s="23" t="s">
        <v>4</v>
      </c>
      <c r="D219" s="22">
        <v>14.01</v>
      </c>
      <c r="E219" s="39">
        <v>19</v>
      </c>
      <c r="F219">
        <f>IF(COUNTIF($A$2:A219, A219)=1, 1, 0)</f>
        <v>0</v>
      </c>
      <c r="G219">
        <f>IF(AND(C219="Внутри сети", COUNTIFS($A$2:A219, A219, $C$2:C219, "Внутри сети")=1), 1, 0)</f>
        <v>0</v>
      </c>
      <c r="H219">
        <f>IF(AND(B219=6, COUNTIFS($A$2:A219, A219, $B$2:B219, 6)=1), 1, 0)</f>
        <v>0</v>
      </c>
      <c r="I219">
        <f>IF(AND(B219=2, COUNTIFS($A$2:A219, A219, $B$2:B219, 2)=1), 1, 0)</f>
        <v>0</v>
      </c>
    </row>
    <row r="220" spans="1:9">
      <c r="A220" s="22">
        <v>77010000070</v>
      </c>
      <c r="B220" s="22">
        <v>1</v>
      </c>
      <c r="C220" s="23" t="s">
        <v>4</v>
      </c>
      <c r="D220" s="22">
        <v>0</v>
      </c>
      <c r="E220" s="39">
        <v>19</v>
      </c>
      <c r="F220">
        <f>IF(COUNTIF($A$2:A220, A220)=1, 1, 0)</f>
        <v>0</v>
      </c>
      <c r="G220">
        <f>IF(AND(C220="Внутри сети", COUNTIFS($A$2:A220, A220, $C$2:C220, "Внутри сети")=1), 1, 0)</f>
        <v>0</v>
      </c>
      <c r="H220">
        <f>IF(AND(B220=6, COUNTIFS($A$2:A220, A220, $B$2:B220, 6)=1), 1, 0)</f>
        <v>0</v>
      </c>
      <c r="I220">
        <f>IF(AND(B220=2, COUNTIFS($A$2:A220, A220, $B$2:B220, 2)=1), 1, 0)</f>
        <v>0</v>
      </c>
    </row>
    <row r="221" spans="1:9">
      <c r="A221" s="22">
        <v>77010000054</v>
      </c>
      <c r="B221" s="22">
        <v>1</v>
      </c>
      <c r="C221" s="23" t="s">
        <v>0</v>
      </c>
      <c r="D221" s="22">
        <v>8.1</v>
      </c>
      <c r="E221" s="39">
        <v>19</v>
      </c>
      <c r="F221">
        <f>IF(COUNTIF($A$2:A221, A221)=1, 1, 0)</f>
        <v>0</v>
      </c>
      <c r="G221">
        <f>IF(AND(C221="Внутри сети", COUNTIFS($A$2:A221, A221, $C$2:C221, "Внутри сети")=1), 1, 0)</f>
        <v>0</v>
      </c>
      <c r="H221">
        <f>IF(AND(B221=6, COUNTIFS($A$2:A221, A221, $B$2:B221, 6)=1), 1, 0)</f>
        <v>0</v>
      </c>
      <c r="I221">
        <f>IF(AND(B221=2, COUNTIFS($A$2:A221, A221, $B$2:B221, 2)=1), 1, 0)</f>
        <v>0</v>
      </c>
    </row>
    <row r="222" spans="1:9">
      <c r="A222" s="22">
        <v>77010000010</v>
      </c>
      <c r="B222" s="22">
        <v>1</v>
      </c>
      <c r="C222" s="23" t="s">
        <v>0</v>
      </c>
      <c r="D222" s="22">
        <v>8.52</v>
      </c>
      <c r="E222" s="39">
        <v>20</v>
      </c>
      <c r="F222">
        <f>IF(COUNTIF($A$2:A222, A222)=1, 1, 0)</f>
        <v>0</v>
      </c>
      <c r="G222">
        <f>IF(AND(C222="Внутри сети", COUNTIFS($A$2:A222, A222, $C$2:C222, "Внутри сети")=1), 1, 0)</f>
        <v>0</v>
      </c>
      <c r="H222">
        <f>IF(AND(B222=6, COUNTIFS($A$2:A222, A222, $B$2:B222, 6)=1), 1, 0)</f>
        <v>0</v>
      </c>
      <c r="I222">
        <f>IF(AND(B222=2, COUNTIFS($A$2:A222, A222, $B$2:B222, 2)=1), 1, 0)</f>
        <v>0</v>
      </c>
    </row>
    <row r="223" spans="1:9">
      <c r="A223" s="22">
        <v>77010000012</v>
      </c>
      <c r="B223" s="22">
        <v>1</v>
      </c>
      <c r="C223" s="23" t="s">
        <v>4</v>
      </c>
      <c r="D223" s="22">
        <v>0</v>
      </c>
      <c r="E223" s="39">
        <v>20</v>
      </c>
      <c r="F223">
        <f>IF(COUNTIF($A$2:A223, A223)=1, 1, 0)</f>
        <v>0</v>
      </c>
      <c r="G223">
        <f>IF(AND(C223="Внутри сети", COUNTIFS($A$2:A223, A223, $C$2:C223, "Внутри сети")=1), 1, 0)</f>
        <v>0</v>
      </c>
      <c r="H223">
        <f>IF(AND(B223=6, COUNTIFS($A$2:A223, A223, $B$2:B223, 6)=1), 1, 0)</f>
        <v>0</v>
      </c>
      <c r="I223">
        <f>IF(AND(B223=2, COUNTIFS($A$2:A223, A223, $B$2:B223, 2)=1), 1, 0)</f>
        <v>0</v>
      </c>
    </row>
    <row r="224" spans="1:9">
      <c r="A224" s="22">
        <v>77010000026</v>
      </c>
      <c r="B224" s="22">
        <v>1</v>
      </c>
      <c r="C224" s="23" t="s">
        <v>0</v>
      </c>
      <c r="D224" s="22">
        <v>8.52</v>
      </c>
      <c r="E224" s="39">
        <v>20</v>
      </c>
      <c r="F224">
        <f>IF(COUNTIF($A$2:A224, A224)=1, 1, 0)</f>
        <v>0</v>
      </c>
      <c r="G224">
        <f>IF(AND(C224="Внутри сети", COUNTIFS($A$2:A224, A224, $C$2:C224, "Внутри сети")=1), 1, 0)</f>
        <v>0</v>
      </c>
      <c r="H224">
        <f>IF(AND(B224=6, COUNTIFS($A$2:A224, A224, $B$2:B224, 6)=1), 1, 0)</f>
        <v>0</v>
      </c>
      <c r="I224">
        <f>IF(AND(B224=2, COUNTIFS($A$2:A224, A224, $B$2:B224, 2)=1), 1, 0)</f>
        <v>0</v>
      </c>
    </row>
    <row r="225" spans="1:9">
      <c r="A225" s="22">
        <v>77010000035</v>
      </c>
      <c r="B225" s="22">
        <v>1</v>
      </c>
      <c r="C225" s="23" t="s">
        <v>0</v>
      </c>
      <c r="D225" s="22">
        <v>8.52</v>
      </c>
      <c r="E225" s="39">
        <v>20</v>
      </c>
      <c r="F225">
        <f>IF(COUNTIF($A$2:A225, A225)=1, 1, 0)</f>
        <v>0</v>
      </c>
      <c r="G225">
        <f>IF(AND(C225="Внутри сети", COUNTIFS($A$2:A225, A225, $C$2:C225, "Внутри сети")=1), 1, 0)</f>
        <v>0</v>
      </c>
      <c r="H225">
        <f>IF(AND(B225=6, COUNTIFS($A$2:A225, A225, $B$2:B225, 6)=1), 1, 0)</f>
        <v>0</v>
      </c>
      <c r="I225">
        <f>IF(AND(B225=2, COUNTIFS($A$2:A225, A225, $B$2:B225, 2)=1), 1, 0)</f>
        <v>0</v>
      </c>
    </row>
    <row r="226" spans="1:9">
      <c r="A226" s="22">
        <v>77010000077</v>
      </c>
      <c r="B226" s="22">
        <v>1</v>
      </c>
      <c r="C226" s="23" t="s">
        <v>0</v>
      </c>
      <c r="D226" s="22">
        <v>8.52</v>
      </c>
      <c r="E226" s="39">
        <v>20</v>
      </c>
      <c r="F226">
        <f>IF(COUNTIF($A$2:A226, A226)=1, 1, 0)</f>
        <v>0</v>
      </c>
      <c r="G226">
        <f>IF(AND(C226="Внутри сети", COUNTIFS($A$2:A226, A226, $C$2:C226, "Внутри сети")=1), 1, 0)</f>
        <v>0</v>
      </c>
      <c r="H226">
        <f>IF(AND(B226=6, COUNTIFS($A$2:A226, A226, $B$2:B226, 6)=1), 1, 0)</f>
        <v>0</v>
      </c>
      <c r="I226">
        <f>IF(AND(B226=2, COUNTIFS($A$2:A226, A226, $B$2:B226, 2)=1), 1, 0)</f>
        <v>0</v>
      </c>
    </row>
    <row r="227" spans="1:9">
      <c r="A227" s="22">
        <v>77010000094</v>
      </c>
      <c r="B227" s="22">
        <v>1</v>
      </c>
      <c r="C227" s="23" t="s">
        <v>0</v>
      </c>
      <c r="D227" s="22">
        <v>8.9499999999999993</v>
      </c>
      <c r="E227" s="39">
        <v>21</v>
      </c>
      <c r="F227">
        <f>IF(COUNTIF($A$2:A227, A227)=1, 1, 0)</f>
        <v>0</v>
      </c>
      <c r="G227">
        <f>IF(AND(C227="Внутри сети", COUNTIFS($A$2:A227, A227, $C$2:C227, "Внутри сети")=1), 1, 0)</f>
        <v>0</v>
      </c>
      <c r="H227">
        <f>IF(AND(B227=6, COUNTIFS($A$2:A227, A227, $B$2:B227, 6)=1), 1, 0)</f>
        <v>0</v>
      </c>
      <c r="I227">
        <f>IF(AND(B227=2, COUNTIFS($A$2:A227, A227, $B$2:B227, 2)=1), 1, 0)</f>
        <v>0</v>
      </c>
    </row>
    <row r="228" spans="1:9">
      <c r="A228" s="22">
        <v>77010000013</v>
      </c>
      <c r="B228" s="22">
        <v>1</v>
      </c>
      <c r="C228" s="23" t="s">
        <v>0</v>
      </c>
      <c r="D228" s="22">
        <v>8.9499999999999993</v>
      </c>
      <c r="E228" s="39">
        <v>21</v>
      </c>
      <c r="F228">
        <f>IF(COUNTIF($A$2:A228, A228)=1, 1, 0)</f>
        <v>0</v>
      </c>
      <c r="G228">
        <f>IF(AND(C228="Внутри сети", COUNTIFS($A$2:A228, A228, $C$2:C228, "Внутри сети")=1), 1, 0)</f>
        <v>0</v>
      </c>
      <c r="H228">
        <f>IF(AND(B228=6, COUNTIFS($A$2:A228, A228, $B$2:B228, 6)=1), 1, 0)</f>
        <v>0</v>
      </c>
      <c r="I228">
        <f>IF(AND(B228=2, COUNTIFS($A$2:A228, A228, $B$2:B228, 2)=1), 1, 0)</f>
        <v>0</v>
      </c>
    </row>
    <row r="229" spans="1:9">
      <c r="A229" s="22">
        <v>77010000005</v>
      </c>
      <c r="B229" s="22">
        <v>1</v>
      </c>
      <c r="C229" s="23" t="s">
        <v>2</v>
      </c>
      <c r="D229" s="22">
        <v>22.3</v>
      </c>
      <c r="E229" s="39">
        <v>21</v>
      </c>
      <c r="F229">
        <f>IF(COUNTIF($A$2:A229, A229)=1, 1, 0)</f>
        <v>0</v>
      </c>
      <c r="G229">
        <f>IF(AND(C229="Внутри сети", COUNTIFS($A$2:A229, A229, $C$2:C229, "Внутри сети")=1), 1, 0)</f>
        <v>0</v>
      </c>
      <c r="H229">
        <f>IF(AND(B229=6, COUNTIFS($A$2:A229, A229, $B$2:B229, 6)=1), 1, 0)</f>
        <v>0</v>
      </c>
      <c r="I229">
        <f>IF(AND(B229=2, COUNTIFS($A$2:A229, A229, $B$2:B229, 2)=1), 1, 0)</f>
        <v>0</v>
      </c>
    </row>
    <row r="230" spans="1:9">
      <c r="A230" s="22">
        <v>77010000059</v>
      </c>
      <c r="B230" s="22">
        <v>1</v>
      </c>
      <c r="C230" s="23" t="s">
        <v>0</v>
      </c>
      <c r="D230" s="22">
        <v>8.9499999999999993</v>
      </c>
      <c r="E230" s="39">
        <v>21</v>
      </c>
      <c r="F230">
        <f>IF(COUNTIF($A$2:A230, A230)=1, 1, 0)</f>
        <v>0</v>
      </c>
      <c r="G230">
        <f>IF(AND(C230="Внутри сети", COUNTIFS($A$2:A230, A230, $C$2:C230, "Внутри сети")=1), 1, 0)</f>
        <v>0</v>
      </c>
      <c r="H230">
        <f>IF(AND(B230=6, COUNTIFS($A$2:A230, A230, $B$2:B230, 6)=1), 1, 0)</f>
        <v>0</v>
      </c>
      <c r="I230">
        <f>IF(AND(B230=2, COUNTIFS($A$2:A230, A230, $B$2:B230, 2)=1), 1, 0)</f>
        <v>0</v>
      </c>
    </row>
    <row r="231" spans="1:9">
      <c r="A231" s="22">
        <v>77010000082</v>
      </c>
      <c r="B231" s="22">
        <v>1</v>
      </c>
      <c r="C231" s="23" t="s">
        <v>0</v>
      </c>
      <c r="D231" s="22">
        <v>8.9499999999999993</v>
      </c>
      <c r="E231" s="39">
        <v>21</v>
      </c>
      <c r="F231">
        <f>IF(COUNTIF($A$2:A231, A231)=1, 1, 0)</f>
        <v>0</v>
      </c>
      <c r="G231">
        <f>IF(AND(C231="Внутри сети", COUNTIFS($A$2:A231, A231, $C$2:C231, "Внутри сети")=1), 1, 0)</f>
        <v>0</v>
      </c>
      <c r="H231">
        <f>IF(AND(B231=6, COUNTIFS($A$2:A231, A231, $B$2:B231, 6)=1), 1, 0)</f>
        <v>0</v>
      </c>
      <c r="I231">
        <f>IF(AND(B231=2, COUNTIFS($A$2:A231, A231, $B$2:B231, 2)=1), 1, 0)</f>
        <v>0</v>
      </c>
    </row>
    <row r="232" spans="1:9">
      <c r="A232" s="22">
        <v>77010000091</v>
      </c>
      <c r="B232" s="22">
        <v>1</v>
      </c>
      <c r="C232" s="23" t="s">
        <v>0</v>
      </c>
      <c r="D232" s="22">
        <v>9.3800000000000008</v>
      </c>
      <c r="E232" s="39">
        <v>22</v>
      </c>
      <c r="F232">
        <f>IF(COUNTIF($A$2:A232, A232)=1, 1, 0)</f>
        <v>0</v>
      </c>
      <c r="G232">
        <f>IF(AND(C232="Внутри сети", COUNTIFS($A$2:A232, A232, $C$2:C232, "Внутри сети")=1), 1, 0)</f>
        <v>0</v>
      </c>
      <c r="H232">
        <f>IF(AND(B232=6, COUNTIFS($A$2:A232, A232, $B$2:B232, 6)=1), 1, 0)</f>
        <v>0</v>
      </c>
      <c r="I232">
        <f>IF(AND(B232=2, COUNTIFS($A$2:A232, A232, $B$2:B232, 2)=1), 1, 0)</f>
        <v>0</v>
      </c>
    </row>
    <row r="233" spans="1:9">
      <c r="A233" s="22">
        <v>77010000036</v>
      </c>
      <c r="B233" s="22">
        <v>1</v>
      </c>
      <c r="C233" s="23" t="s">
        <v>0</v>
      </c>
      <c r="D233" s="22">
        <v>9.3800000000000008</v>
      </c>
      <c r="E233" s="39">
        <v>22</v>
      </c>
      <c r="F233">
        <f>IF(COUNTIF($A$2:A233, A233)=1, 1, 0)</f>
        <v>0</v>
      </c>
      <c r="G233">
        <f>IF(AND(C233="Внутри сети", COUNTIFS($A$2:A233, A233, $C$2:C233, "Внутри сети")=1), 1, 0)</f>
        <v>0</v>
      </c>
      <c r="H233">
        <f>IF(AND(B233=6, COUNTIFS($A$2:A233, A233, $B$2:B233, 6)=1), 1, 0)</f>
        <v>0</v>
      </c>
      <c r="I233">
        <f>IF(AND(B233=2, COUNTIFS($A$2:A233, A233, $B$2:B233, 2)=1), 1, 0)</f>
        <v>0</v>
      </c>
    </row>
    <row r="234" spans="1:9">
      <c r="A234" s="22">
        <v>77010000044</v>
      </c>
      <c r="B234" s="22">
        <v>1</v>
      </c>
      <c r="C234" s="23" t="s">
        <v>0</v>
      </c>
      <c r="D234" s="22">
        <v>2.5</v>
      </c>
      <c r="E234" s="39">
        <v>22</v>
      </c>
      <c r="F234">
        <f>IF(COUNTIF($A$2:A234, A234)=1, 1, 0)</f>
        <v>0</v>
      </c>
      <c r="G234">
        <f>IF(AND(C234="Внутри сети", COUNTIFS($A$2:A234, A234, $C$2:C234, "Внутри сети")=1), 1, 0)</f>
        <v>0</v>
      </c>
      <c r="H234">
        <f>IF(AND(B234=6, COUNTIFS($A$2:A234, A234, $B$2:B234, 6)=1), 1, 0)</f>
        <v>0</v>
      </c>
      <c r="I234">
        <f>IF(AND(B234=2, COUNTIFS($A$2:A234, A234, $B$2:B234, 2)=1), 1, 0)</f>
        <v>0</v>
      </c>
    </row>
    <row r="235" spans="1:9">
      <c r="A235" s="22">
        <v>77010000020</v>
      </c>
      <c r="B235" s="22">
        <v>1</v>
      </c>
      <c r="C235" s="23" t="s">
        <v>0</v>
      </c>
      <c r="D235" s="22">
        <v>9.3800000000000008</v>
      </c>
      <c r="E235" s="39">
        <v>22</v>
      </c>
      <c r="F235">
        <f>IF(COUNTIF($A$2:A235, A235)=1, 1, 0)</f>
        <v>0</v>
      </c>
      <c r="G235">
        <f>IF(AND(C235="Внутри сети", COUNTIFS($A$2:A235, A235, $C$2:C235, "Внутри сети")=1), 1, 0)</f>
        <v>0</v>
      </c>
      <c r="H235">
        <f>IF(AND(B235=6, COUNTIFS($A$2:A235, A235, $B$2:B235, 6)=1), 1, 0)</f>
        <v>0</v>
      </c>
      <c r="I235">
        <f>IF(AND(B235=2, COUNTIFS($A$2:A235, A235, $B$2:B235, 2)=1), 1, 0)</f>
        <v>0</v>
      </c>
    </row>
    <row r="236" spans="1:9">
      <c r="A236" s="22">
        <v>77010000083</v>
      </c>
      <c r="B236" s="22">
        <v>1</v>
      </c>
      <c r="C236" s="23" t="s">
        <v>0</v>
      </c>
      <c r="D236" s="22">
        <v>9.3800000000000008</v>
      </c>
      <c r="E236" s="39">
        <v>22</v>
      </c>
      <c r="F236">
        <f>IF(COUNTIF($A$2:A236, A236)=1, 1, 0)</f>
        <v>0</v>
      </c>
      <c r="G236">
        <f>IF(AND(C236="Внутри сети", COUNTIFS($A$2:A236, A236, $C$2:C236, "Внутри сети")=1), 1, 0)</f>
        <v>0</v>
      </c>
      <c r="H236">
        <f>IF(AND(B236=6, COUNTIFS($A$2:A236, A236, $B$2:B236, 6)=1), 1, 0)</f>
        <v>0</v>
      </c>
      <c r="I236">
        <f>IF(AND(B236=2, COUNTIFS($A$2:A236, A236, $B$2:B236, 2)=1), 1, 0)</f>
        <v>0</v>
      </c>
    </row>
    <row r="237" spans="1:9">
      <c r="A237" s="22">
        <v>77010000061</v>
      </c>
      <c r="B237" s="22">
        <v>1</v>
      </c>
      <c r="C237" s="23" t="s">
        <v>0</v>
      </c>
      <c r="D237" s="22">
        <v>9.8000000000000007</v>
      </c>
      <c r="E237" s="39">
        <v>23</v>
      </c>
      <c r="F237">
        <f>IF(COUNTIF($A$2:A237, A237)=1, 1, 0)</f>
        <v>0</v>
      </c>
      <c r="G237">
        <f>IF(AND(C237="Внутри сети", COUNTIFS($A$2:A237, A237, $C$2:C237, "Внутри сети")=1), 1, 0)</f>
        <v>0</v>
      </c>
      <c r="H237">
        <f>IF(AND(B237=6, COUNTIFS($A$2:A237, A237, $B$2:B237, 6)=1), 1, 0)</f>
        <v>0</v>
      </c>
      <c r="I237">
        <f>IF(AND(B237=2, COUNTIFS($A$2:A237, A237, $B$2:B237, 2)=1), 1, 0)</f>
        <v>0</v>
      </c>
    </row>
    <row r="238" spans="1:9">
      <c r="A238" s="22">
        <v>77010000015</v>
      </c>
      <c r="B238" s="22">
        <v>1</v>
      </c>
      <c r="C238" s="23" t="s">
        <v>0</v>
      </c>
      <c r="D238" s="22">
        <v>9.8000000000000007</v>
      </c>
      <c r="E238" s="39">
        <v>23</v>
      </c>
      <c r="F238">
        <f>IF(COUNTIF($A$2:A238, A238)=1, 1, 0)</f>
        <v>1</v>
      </c>
      <c r="G238">
        <f>IF(AND(C238="Внутри сети", COUNTIFS($A$2:A238, A238, $C$2:C238, "Внутри сети")=1), 1, 0)</f>
        <v>1</v>
      </c>
      <c r="H238">
        <f>IF(AND(B238=6, COUNTIFS($A$2:A238, A238, $B$2:B238, 6)=1), 1, 0)</f>
        <v>0</v>
      </c>
      <c r="I238">
        <f>IF(AND(B238=2, COUNTIFS($A$2:A238, A238, $B$2:B238, 2)=1), 1, 0)</f>
        <v>0</v>
      </c>
    </row>
    <row r="239" spans="1:9">
      <c r="A239" s="22">
        <v>77010000025</v>
      </c>
      <c r="B239" s="22">
        <v>1</v>
      </c>
      <c r="C239" s="23" t="s">
        <v>0</v>
      </c>
      <c r="D239" s="22">
        <v>9.8000000000000007</v>
      </c>
      <c r="E239" s="39">
        <v>23</v>
      </c>
      <c r="F239">
        <f>IF(COUNTIF($A$2:A239, A239)=1, 1, 0)</f>
        <v>0</v>
      </c>
      <c r="G239">
        <f>IF(AND(C239="Внутри сети", COUNTIFS($A$2:A239, A239, $C$2:C239, "Внутри сети")=1), 1, 0)</f>
        <v>0</v>
      </c>
      <c r="H239">
        <f>IF(AND(B239=6, COUNTIFS($A$2:A239, A239, $B$2:B239, 6)=1), 1, 0)</f>
        <v>0</v>
      </c>
      <c r="I239">
        <f>IF(AND(B239=2, COUNTIFS($A$2:A239, A239, $B$2:B239, 2)=1), 1, 0)</f>
        <v>0</v>
      </c>
    </row>
    <row r="240" spans="1:9">
      <c r="A240" s="22">
        <v>77010000007</v>
      </c>
      <c r="B240" s="22">
        <v>1</v>
      </c>
      <c r="C240" s="23" t="s">
        <v>0</v>
      </c>
      <c r="D240" s="22">
        <v>10.23</v>
      </c>
      <c r="E240" s="39">
        <v>24</v>
      </c>
      <c r="F240">
        <f>IF(COUNTIF($A$2:A240, A240)=1, 1, 0)</f>
        <v>0</v>
      </c>
      <c r="G240">
        <f>IF(AND(C240="Внутри сети", COUNTIFS($A$2:A240, A240, $C$2:C240, "Внутри сети")=1), 1, 0)</f>
        <v>0</v>
      </c>
      <c r="H240">
        <f>IF(AND(B240=6, COUNTIFS($A$2:A240, A240, $B$2:B240, 6)=1), 1, 0)</f>
        <v>0</v>
      </c>
      <c r="I240">
        <f>IF(AND(B240=2, COUNTIFS($A$2:A240, A240, $B$2:B240, 2)=1), 1, 0)</f>
        <v>0</v>
      </c>
    </row>
    <row r="241" spans="1:9">
      <c r="A241" s="22">
        <v>77010000041</v>
      </c>
      <c r="B241" s="22">
        <v>1</v>
      </c>
      <c r="C241" s="23" t="s">
        <v>0</v>
      </c>
      <c r="D241" s="22">
        <v>10.23</v>
      </c>
      <c r="E241" s="39">
        <v>24</v>
      </c>
      <c r="F241">
        <f>IF(COUNTIF($A$2:A241, A241)=1, 1, 0)</f>
        <v>0</v>
      </c>
      <c r="G241">
        <f>IF(AND(C241="Внутри сети", COUNTIFS($A$2:A241, A241, $C$2:C241, "Внутри сети")=1), 1, 0)</f>
        <v>0</v>
      </c>
      <c r="H241">
        <f>IF(AND(B241=6, COUNTIFS($A$2:A241, A241, $B$2:B241, 6)=1), 1, 0)</f>
        <v>0</v>
      </c>
      <c r="I241">
        <f>IF(AND(B241=2, COUNTIFS($A$2:A241, A241, $B$2:B241, 2)=1), 1, 0)</f>
        <v>0</v>
      </c>
    </row>
    <row r="242" spans="1:9">
      <c r="A242" s="22">
        <v>77010000050</v>
      </c>
      <c r="B242" s="22">
        <v>1</v>
      </c>
      <c r="C242" s="23" t="s">
        <v>0</v>
      </c>
      <c r="D242" s="22">
        <v>10.23</v>
      </c>
      <c r="E242" s="39">
        <v>24</v>
      </c>
      <c r="F242">
        <f>IF(COUNTIF($A$2:A242, A242)=1, 1, 0)</f>
        <v>0</v>
      </c>
      <c r="G242">
        <f>IF(AND(C242="Внутри сети", COUNTIFS($A$2:A242, A242, $C$2:C242, "Внутри сети")=1), 1, 0)</f>
        <v>0</v>
      </c>
      <c r="H242">
        <f>IF(AND(B242=6, COUNTIFS($A$2:A242, A242, $B$2:B242, 6)=1), 1, 0)</f>
        <v>0</v>
      </c>
      <c r="I242">
        <f>IF(AND(B242=2, COUNTIFS($A$2:A242, A242, $B$2:B242, 2)=1), 1, 0)</f>
        <v>0</v>
      </c>
    </row>
    <row r="243" spans="1:9">
      <c r="A243" s="22">
        <v>77010000075</v>
      </c>
      <c r="B243" s="22">
        <v>1</v>
      </c>
      <c r="C243" s="23" t="s">
        <v>0</v>
      </c>
      <c r="D243" s="22">
        <v>10.66</v>
      </c>
      <c r="E243" s="39">
        <v>25</v>
      </c>
      <c r="F243">
        <f>IF(COUNTIF($A$2:A243, A243)=1, 1, 0)</f>
        <v>0</v>
      </c>
      <c r="G243">
        <f>IF(AND(C243="Внутри сети", COUNTIFS($A$2:A243, A243, $C$2:C243, "Внутри сети")=1), 1, 0)</f>
        <v>0</v>
      </c>
      <c r="H243">
        <f>IF(AND(B243=6, COUNTIFS($A$2:A243, A243, $B$2:B243, 6)=1), 1, 0)</f>
        <v>0</v>
      </c>
      <c r="I243">
        <f>IF(AND(B243=2, COUNTIFS($A$2:A243, A243, $B$2:B243, 2)=1), 1, 0)</f>
        <v>0</v>
      </c>
    </row>
    <row r="244" spans="1:9">
      <c r="A244" s="22">
        <v>77010000081</v>
      </c>
      <c r="B244" s="22">
        <v>1</v>
      </c>
      <c r="C244" s="23" t="s">
        <v>1</v>
      </c>
      <c r="D244" s="22">
        <v>22.3</v>
      </c>
      <c r="E244" s="39">
        <v>26</v>
      </c>
      <c r="F244">
        <f>IF(COUNTIF($A$2:A244, A244)=1, 1, 0)</f>
        <v>0</v>
      </c>
      <c r="G244">
        <f>IF(AND(C244="Внутри сети", COUNTIFS($A$2:A244, A244, $C$2:C244, "Внутри сети")=1), 1, 0)</f>
        <v>0</v>
      </c>
      <c r="H244">
        <f>IF(AND(B244=6, COUNTIFS($A$2:A244, A244, $B$2:B244, 6)=1), 1, 0)</f>
        <v>0</v>
      </c>
      <c r="I244">
        <f>IF(AND(B244=2, COUNTIFS($A$2:A244, A244, $B$2:B244, 2)=1), 1, 0)</f>
        <v>0</v>
      </c>
    </row>
    <row r="245" spans="1:9">
      <c r="A245" s="22">
        <v>77010000077</v>
      </c>
      <c r="B245" s="22">
        <v>1</v>
      </c>
      <c r="C245" s="23" t="s">
        <v>0</v>
      </c>
      <c r="D245" s="22">
        <v>11.08</v>
      </c>
      <c r="E245" s="39">
        <v>26</v>
      </c>
      <c r="F245">
        <f>IF(COUNTIF($A$2:A245, A245)=1, 1, 0)</f>
        <v>0</v>
      </c>
      <c r="G245">
        <f>IF(AND(C245="Внутри сети", COUNTIFS($A$2:A245, A245, $C$2:C245, "Внутри сети")=1), 1, 0)</f>
        <v>0</v>
      </c>
      <c r="H245">
        <f>IF(AND(B245=6, COUNTIFS($A$2:A245, A245, $B$2:B245, 6)=1), 1, 0)</f>
        <v>0</v>
      </c>
      <c r="I245">
        <f>IF(AND(B245=2, COUNTIFS($A$2:A245, A245, $B$2:B245, 2)=1), 1, 0)</f>
        <v>0</v>
      </c>
    </row>
    <row r="246" spans="1:9">
      <c r="A246" s="22">
        <v>77010000003</v>
      </c>
      <c r="B246" s="22">
        <v>1</v>
      </c>
      <c r="C246" s="23" t="s">
        <v>1</v>
      </c>
      <c r="D246" s="22">
        <v>22.3</v>
      </c>
      <c r="E246" s="39">
        <v>27</v>
      </c>
      <c r="F246">
        <f>IF(COUNTIF($A$2:A246, A246)=1, 1, 0)</f>
        <v>0</v>
      </c>
      <c r="G246">
        <f>IF(AND(C246="Внутри сети", COUNTIFS($A$2:A246, A246, $C$2:C246, "Внутри сети")=1), 1, 0)</f>
        <v>0</v>
      </c>
      <c r="H246">
        <f>IF(AND(B246=6, COUNTIFS($A$2:A246, A246, $B$2:B246, 6)=1), 1, 0)</f>
        <v>0</v>
      </c>
      <c r="I246">
        <f>IF(AND(B246=2, COUNTIFS($A$2:A246, A246, $B$2:B246, 2)=1), 1, 0)</f>
        <v>0</v>
      </c>
    </row>
    <row r="247" spans="1:9">
      <c r="A247" s="22">
        <v>77010000015</v>
      </c>
      <c r="B247" s="22">
        <v>1</v>
      </c>
      <c r="C247" s="23" t="s">
        <v>0</v>
      </c>
      <c r="D247" s="22">
        <v>11.51</v>
      </c>
      <c r="E247" s="39">
        <v>27</v>
      </c>
      <c r="F247">
        <f>IF(COUNTIF($A$2:A247, A247)=1, 1, 0)</f>
        <v>0</v>
      </c>
      <c r="G247">
        <f>IF(AND(C247="Внутри сети", COUNTIFS($A$2:A247, A247, $C$2:C247, "Внутри сети")=1), 1, 0)</f>
        <v>0</v>
      </c>
      <c r="H247">
        <f>IF(AND(B247=6, COUNTIFS($A$2:A247, A247, $B$2:B247, 6)=1), 1, 0)</f>
        <v>0</v>
      </c>
      <c r="I247">
        <f>IF(AND(B247=2, COUNTIFS($A$2:A247, A247, $B$2:B247, 2)=1), 1, 0)</f>
        <v>0</v>
      </c>
    </row>
    <row r="248" spans="1:9">
      <c r="A248" s="22">
        <v>77010000030</v>
      </c>
      <c r="B248" s="22">
        <v>1</v>
      </c>
      <c r="C248" s="23" t="s">
        <v>0</v>
      </c>
      <c r="D248" s="22">
        <v>11.51</v>
      </c>
      <c r="E248" s="39">
        <v>27</v>
      </c>
      <c r="F248">
        <f>IF(COUNTIF($A$2:A248, A248)=1, 1, 0)</f>
        <v>0</v>
      </c>
      <c r="G248">
        <f>IF(AND(C248="Внутри сети", COUNTIFS($A$2:A248, A248, $C$2:C248, "Внутри сети")=1), 1, 0)</f>
        <v>1</v>
      </c>
      <c r="H248">
        <f>IF(AND(B248=6, COUNTIFS($A$2:A248, A248, $B$2:B248, 6)=1), 1, 0)</f>
        <v>0</v>
      </c>
      <c r="I248">
        <f>IF(AND(B248=2, COUNTIFS($A$2:A248, A248, $B$2:B248, 2)=1), 1, 0)</f>
        <v>0</v>
      </c>
    </row>
    <row r="249" spans="1:9">
      <c r="A249" s="44">
        <v>77010000055</v>
      </c>
      <c r="B249" s="22">
        <v>1</v>
      </c>
      <c r="C249" s="23" t="s">
        <v>0</v>
      </c>
      <c r="D249" s="22">
        <v>11.51</v>
      </c>
      <c r="E249" s="39">
        <v>27</v>
      </c>
      <c r="F249">
        <f>IF(COUNTIF($A$2:A249, A249)=1, 1, 0)</f>
        <v>0</v>
      </c>
      <c r="G249">
        <f>IF(AND(C249="Внутри сети", COUNTIFS($A$2:A249, A249, $C$2:C249, "Внутри сети")=1), 1, 0)</f>
        <v>0</v>
      </c>
      <c r="H249">
        <f>IF(AND(B249=6, COUNTIFS($A$2:A249, A249, $B$2:B249, 6)=1), 1, 0)</f>
        <v>0</v>
      </c>
      <c r="I249">
        <f>IF(AND(B249=2, COUNTIFS($A$2:A249, A249, $B$2:B249, 2)=1), 1, 0)</f>
        <v>0</v>
      </c>
    </row>
    <row r="250" spans="1:9">
      <c r="A250" s="22">
        <v>77010000083</v>
      </c>
      <c r="B250" s="22">
        <v>1</v>
      </c>
      <c r="C250" s="23" t="s">
        <v>0</v>
      </c>
      <c r="D250" s="22">
        <v>11.51</v>
      </c>
      <c r="E250" s="39">
        <v>27</v>
      </c>
      <c r="F250">
        <f>IF(COUNTIF($A$2:A250, A250)=1, 1, 0)</f>
        <v>0</v>
      </c>
      <c r="G250">
        <f>IF(AND(C250="Внутри сети", COUNTIFS($A$2:A250, A250, $C$2:C250, "Внутри сети")=1), 1, 0)</f>
        <v>0</v>
      </c>
      <c r="H250">
        <f>IF(AND(B250=6, COUNTIFS($A$2:A250, A250, $B$2:B250, 6)=1), 1, 0)</f>
        <v>0</v>
      </c>
      <c r="I250">
        <f>IF(AND(B250=2, COUNTIFS($A$2:A250, A250, $B$2:B250, 2)=1), 1, 0)</f>
        <v>0</v>
      </c>
    </row>
    <row r="251" spans="1:9">
      <c r="A251" s="22">
        <v>77010000047</v>
      </c>
      <c r="B251" s="22">
        <v>1</v>
      </c>
      <c r="C251" s="23" t="s">
        <v>0</v>
      </c>
      <c r="D251" s="22">
        <v>11.93</v>
      </c>
      <c r="E251" s="39">
        <v>28</v>
      </c>
      <c r="F251">
        <f>IF(COUNTIF($A$2:A251, A251)=1, 1, 0)</f>
        <v>0</v>
      </c>
      <c r="G251">
        <f>IF(AND(C251="Внутри сети", COUNTIFS($A$2:A251, A251, $C$2:C251, "Внутри сети")=1), 1, 0)</f>
        <v>0</v>
      </c>
      <c r="H251">
        <f>IF(AND(B251=6, COUNTIFS($A$2:A251, A251, $B$2:B251, 6)=1), 1, 0)</f>
        <v>0</v>
      </c>
      <c r="I251">
        <f>IF(AND(B251=2, COUNTIFS($A$2:A251, A251, $B$2:B251, 2)=1), 1, 0)</f>
        <v>0</v>
      </c>
    </row>
    <row r="252" spans="1:9">
      <c r="A252" s="22">
        <v>77010000080</v>
      </c>
      <c r="B252" s="22">
        <v>1</v>
      </c>
      <c r="C252" s="23" t="s">
        <v>0</v>
      </c>
      <c r="D252" s="22">
        <v>11.93</v>
      </c>
      <c r="E252" s="39">
        <v>28</v>
      </c>
      <c r="F252">
        <f>IF(COUNTIF($A$2:A252, A252)=1, 1, 0)</f>
        <v>0</v>
      </c>
      <c r="G252">
        <f>IF(AND(C252="Внутри сети", COUNTIFS($A$2:A252, A252, $C$2:C252, "Внутри сети")=1), 1, 0)</f>
        <v>0</v>
      </c>
      <c r="H252">
        <f>IF(AND(B252=6, COUNTIFS($A$2:A252, A252, $B$2:B252, 6)=1), 1, 0)</f>
        <v>0</v>
      </c>
      <c r="I252">
        <f>IF(AND(B252=2, COUNTIFS($A$2:A252, A252, $B$2:B252, 2)=1), 1, 0)</f>
        <v>0</v>
      </c>
    </row>
    <row r="253" spans="1:9">
      <c r="A253" s="22">
        <v>77010000019</v>
      </c>
      <c r="B253" s="22">
        <v>1</v>
      </c>
      <c r="C253" s="23" t="s">
        <v>0</v>
      </c>
      <c r="D253" s="22">
        <v>14.06</v>
      </c>
      <c r="E253" s="39">
        <v>33</v>
      </c>
      <c r="F253">
        <f>IF(COUNTIF($A$2:A253, A253)=1, 1, 0)</f>
        <v>0</v>
      </c>
      <c r="G253">
        <f>IF(AND(C253="Внутри сети", COUNTIFS($A$2:A253, A253, $C$2:C253, "Внутри сети")=1), 1, 0)</f>
        <v>0</v>
      </c>
      <c r="H253">
        <f>IF(AND(B253=6, COUNTIFS($A$2:A253, A253, $B$2:B253, 6)=1), 1, 0)</f>
        <v>0</v>
      </c>
      <c r="I253">
        <f>IF(AND(B253=2, COUNTIFS($A$2:A253, A253, $B$2:B253, 2)=1), 1, 0)</f>
        <v>0</v>
      </c>
    </row>
    <row r="254" spans="1:9">
      <c r="A254" s="22">
        <v>77010000112</v>
      </c>
      <c r="B254" s="22">
        <v>2</v>
      </c>
      <c r="C254" s="23" t="s">
        <v>0</v>
      </c>
      <c r="D254" s="22">
        <v>0.43</v>
      </c>
      <c r="E254" s="39">
        <v>1</v>
      </c>
      <c r="F254">
        <f>IF(COUNTIF($A$2:A254, A254)=1, 1, 0)</f>
        <v>1</v>
      </c>
      <c r="G254">
        <f>IF(AND(C254="Внутри сети", COUNTIFS($A$2:A254, A254, $C$2:C254, "Внутри сети")=1), 1, 0)</f>
        <v>1</v>
      </c>
      <c r="H254">
        <f>IF(AND(B254=6, COUNTIFS($A$2:A254, A254, $B$2:B254, 6)=1), 1, 0)</f>
        <v>0</v>
      </c>
      <c r="I254">
        <f>IF(AND(B254=2, COUNTIFS($A$2:A254, A254, $B$2:B254, 2)=1), 1, 0)</f>
        <v>1</v>
      </c>
    </row>
    <row r="255" spans="1:9">
      <c r="A255" s="22">
        <v>77010000114</v>
      </c>
      <c r="B255" s="22">
        <v>2</v>
      </c>
      <c r="C255" s="23" t="s">
        <v>0</v>
      </c>
      <c r="D255" s="22">
        <v>0.43</v>
      </c>
      <c r="E255" s="39">
        <v>1</v>
      </c>
      <c r="F255">
        <f>IF(COUNTIF($A$2:A255, A255)=1, 1, 0)</f>
        <v>1</v>
      </c>
      <c r="G255">
        <f>IF(AND(C255="Внутри сети", COUNTIFS($A$2:A255, A255, $C$2:C255, "Внутри сети")=1), 1, 0)</f>
        <v>1</v>
      </c>
      <c r="H255">
        <f>IF(AND(B255=6, COUNTIFS($A$2:A255, A255, $B$2:B255, 6)=1), 1, 0)</f>
        <v>0</v>
      </c>
      <c r="I255">
        <f>IF(AND(B255=2, COUNTIFS($A$2:A255, A255, $B$2:B255, 2)=1), 1, 0)</f>
        <v>1</v>
      </c>
    </row>
    <row r="256" spans="1:9">
      <c r="A256" s="22">
        <v>77010000118</v>
      </c>
      <c r="B256" s="22">
        <v>2</v>
      </c>
      <c r="C256" s="23" t="s">
        <v>0</v>
      </c>
      <c r="D256" s="22">
        <v>0.43</v>
      </c>
      <c r="E256" s="39">
        <v>1</v>
      </c>
      <c r="F256">
        <f>IF(COUNTIF($A$2:A256, A256)=1, 1, 0)</f>
        <v>1</v>
      </c>
      <c r="G256">
        <f>IF(AND(C256="Внутри сети", COUNTIFS($A$2:A256, A256, $C$2:C256, "Внутри сети")=1), 1, 0)</f>
        <v>1</v>
      </c>
      <c r="H256">
        <f>IF(AND(B256=6, COUNTIFS($A$2:A256, A256, $B$2:B256, 6)=1), 1, 0)</f>
        <v>0</v>
      </c>
      <c r="I256">
        <f>IF(AND(B256=2, COUNTIFS($A$2:A256, A256, $B$2:B256, 2)=1), 1, 0)</f>
        <v>1</v>
      </c>
    </row>
    <row r="257" spans="1:9">
      <c r="A257" s="22">
        <v>77010000120</v>
      </c>
      <c r="B257" s="22">
        <v>2</v>
      </c>
      <c r="C257" s="23" t="s">
        <v>0</v>
      </c>
      <c r="D257" s="22">
        <v>0.43</v>
      </c>
      <c r="E257" s="39">
        <v>1</v>
      </c>
      <c r="F257">
        <f>IF(COUNTIF($A$2:A257, A257)=1, 1, 0)</f>
        <v>1</v>
      </c>
      <c r="G257">
        <f>IF(AND(C257="Внутри сети", COUNTIFS($A$2:A257, A257, $C$2:C257, "Внутри сети")=1), 1, 0)</f>
        <v>1</v>
      </c>
      <c r="H257">
        <f>IF(AND(B257=6, COUNTIFS($A$2:A257, A257, $B$2:B257, 6)=1), 1, 0)</f>
        <v>0</v>
      </c>
      <c r="I257">
        <f>IF(AND(B257=2, COUNTIFS($A$2:A257, A257, $B$2:B257, 2)=1), 1, 0)</f>
        <v>1</v>
      </c>
    </row>
    <row r="258" spans="1:9">
      <c r="A258" s="22">
        <v>77010000115</v>
      </c>
      <c r="B258" s="22">
        <v>2</v>
      </c>
      <c r="C258" s="23" t="s">
        <v>0</v>
      </c>
      <c r="D258" s="22">
        <v>1.28</v>
      </c>
      <c r="E258" s="39">
        <v>3</v>
      </c>
      <c r="F258">
        <f>IF(COUNTIF($A$2:A258, A258)=1, 1, 0)</f>
        <v>1</v>
      </c>
      <c r="G258">
        <f>IF(AND(C258="Внутри сети", COUNTIFS($A$2:A258, A258, $C$2:C258, "Внутри сети")=1), 1, 0)</f>
        <v>1</v>
      </c>
      <c r="H258">
        <f>IF(AND(B258=6, COUNTIFS($A$2:A258, A258, $B$2:B258, 6)=1), 1, 0)</f>
        <v>0</v>
      </c>
      <c r="I258">
        <f>IF(AND(B258=2, COUNTIFS($A$2:A258, A258, $B$2:B258, 2)=1), 1, 0)</f>
        <v>1</v>
      </c>
    </row>
    <row r="259" spans="1:9">
      <c r="A259" s="22">
        <v>77010000121</v>
      </c>
      <c r="B259" s="22">
        <v>2</v>
      </c>
      <c r="C259" s="23" t="s">
        <v>0</v>
      </c>
      <c r="D259" s="22">
        <v>1.28</v>
      </c>
      <c r="E259" s="39">
        <v>3</v>
      </c>
      <c r="F259">
        <f>IF(COUNTIF($A$2:A259, A259)=1, 1, 0)</f>
        <v>1</v>
      </c>
      <c r="G259">
        <f>IF(AND(C259="Внутри сети", COUNTIFS($A$2:A259, A259, $C$2:C259, "Внутри сети")=1), 1, 0)</f>
        <v>1</v>
      </c>
      <c r="H259">
        <f>IF(AND(B259=6, COUNTIFS($A$2:A259, A259, $B$2:B259, 6)=1), 1, 0)</f>
        <v>0</v>
      </c>
      <c r="I259">
        <f>IF(AND(B259=2, COUNTIFS($A$2:A259, A259, $B$2:B259, 2)=1), 1, 0)</f>
        <v>1</v>
      </c>
    </row>
    <row r="260" spans="1:9">
      <c r="A260" s="22">
        <v>77010000125</v>
      </c>
      <c r="B260" s="22">
        <v>2</v>
      </c>
      <c r="C260" s="23" t="s">
        <v>0</v>
      </c>
      <c r="D260" s="22">
        <v>1.28</v>
      </c>
      <c r="E260" s="39">
        <v>3</v>
      </c>
      <c r="F260">
        <f>IF(COUNTIF($A$2:A260, A260)=1, 1, 0)</f>
        <v>1</v>
      </c>
      <c r="G260">
        <f>IF(AND(C260="Внутри сети", COUNTIFS($A$2:A260, A260, $C$2:C260, "Внутри сети")=1), 1, 0)</f>
        <v>1</v>
      </c>
      <c r="H260">
        <f>IF(AND(B260=6, COUNTIFS($A$2:A260, A260, $B$2:B260, 6)=1), 1, 0)</f>
        <v>0</v>
      </c>
      <c r="I260">
        <f>IF(AND(B260=2, COUNTIFS($A$2:A260, A260, $B$2:B260, 2)=1), 1, 0)</f>
        <v>1</v>
      </c>
    </row>
    <row r="261" spans="1:9">
      <c r="A261" s="22">
        <v>77010000103</v>
      </c>
      <c r="B261" s="22">
        <v>2</v>
      </c>
      <c r="C261" s="23" t="s">
        <v>0</v>
      </c>
      <c r="D261" s="22">
        <v>1.28</v>
      </c>
      <c r="E261" s="39">
        <v>3</v>
      </c>
      <c r="F261">
        <f>IF(COUNTIF($A$2:A261, A261)=1, 1, 0)</f>
        <v>1</v>
      </c>
      <c r="G261">
        <f>IF(AND(C261="Внутри сети", COUNTIFS($A$2:A261, A261, $C$2:C261, "Внутри сети")=1), 1, 0)</f>
        <v>1</v>
      </c>
      <c r="H261">
        <f>IF(AND(B261=6, COUNTIFS($A$2:A261, A261, $B$2:B261, 6)=1), 1, 0)</f>
        <v>0</v>
      </c>
      <c r="I261">
        <f>IF(AND(B261=2, COUNTIFS($A$2:A261, A261, $B$2:B261, 2)=1), 1, 0)</f>
        <v>1</v>
      </c>
    </row>
    <row r="262" spans="1:9">
      <c r="A262" s="22">
        <v>77010000125</v>
      </c>
      <c r="B262" s="22">
        <v>2</v>
      </c>
      <c r="C262" s="23" t="s">
        <v>0</v>
      </c>
      <c r="D262" s="22">
        <v>1.7</v>
      </c>
      <c r="E262" s="39">
        <v>4</v>
      </c>
      <c r="F262">
        <f>IF(COUNTIF($A$2:A262, A262)=1, 1, 0)</f>
        <v>0</v>
      </c>
      <c r="G262">
        <f>IF(AND(C262="Внутри сети", COUNTIFS($A$2:A262, A262, $C$2:C262, "Внутри сети")=1), 1, 0)</f>
        <v>0</v>
      </c>
      <c r="H262">
        <f>IF(AND(B262=6, COUNTIFS($A$2:A262, A262, $B$2:B262, 6)=1), 1, 0)</f>
        <v>0</v>
      </c>
      <c r="I262">
        <f>IF(AND(B262=2, COUNTIFS($A$2:A262, A262, $B$2:B262, 2)=1), 1, 0)</f>
        <v>0</v>
      </c>
    </row>
    <row r="263" spans="1:9">
      <c r="A263" s="22">
        <v>77010000120</v>
      </c>
      <c r="B263" s="22">
        <v>2</v>
      </c>
      <c r="C263" s="23" t="s">
        <v>0</v>
      </c>
      <c r="D263" s="22">
        <v>2.13</v>
      </c>
      <c r="E263" s="39">
        <v>5</v>
      </c>
      <c r="F263">
        <f>IF(COUNTIF($A$2:A263, A263)=1, 1, 0)</f>
        <v>0</v>
      </c>
      <c r="G263">
        <f>IF(AND(C263="Внутри сети", COUNTIFS($A$2:A263, A263, $C$2:C263, "Внутри сети")=1), 1, 0)</f>
        <v>0</v>
      </c>
      <c r="H263">
        <f>IF(AND(B263=6, COUNTIFS($A$2:A263, A263, $B$2:B263, 6)=1), 1, 0)</f>
        <v>0</v>
      </c>
      <c r="I263">
        <f>IF(AND(B263=2, COUNTIFS($A$2:A263, A263, $B$2:B263, 2)=1), 1, 0)</f>
        <v>0</v>
      </c>
    </row>
    <row r="264" spans="1:9">
      <c r="A264" s="22">
        <v>77010000110</v>
      </c>
      <c r="B264" s="22">
        <v>2</v>
      </c>
      <c r="C264" s="23" t="s">
        <v>0</v>
      </c>
      <c r="D264" s="22">
        <v>2.98</v>
      </c>
      <c r="E264" s="39">
        <v>7</v>
      </c>
      <c r="F264">
        <f>IF(COUNTIF($A$2:A264, A264)=1, 1, 0)</f>
        <v>1</v>
      </c>
      <c r="G264">
        <f>IF(AND(C264="Внутри сети", COUNTIFS($A$2:A264, A264, $C$2:C264, "Внутри сети")=1), 1, 0)</f>
        <v>1</v>
      </c>
      <c r="H264">
        <f>IF(AND(B264=6, COUNTIFS($A$2:A264, A264, $B$2:B264, 6)=1), 1, 0)</f>
        <v>0</v>
      </c>
      <c r="I264">
        <f>IF(AND(B264=2, COUNTIFS($A$2:A264, A264, $B$2:B264, 2)=1), 1, 0)</f>
        <v>1</v>
      </c>
    </row>
    <row r="265" spans="1:9">
      <c r="A265" s="22">
        <v>77010000128</v>
      </c>
      <c r="B265" s="22">
        <v>2</v>
      </c>
      <c r="C265" s="23" t="s">
        <v>0</v>
      </c>
      <c r="D265" s="22">
        <v>2.98</v>
      </c>
      <c r="E265" s="39">
        <v>7</v>
      </c>
      <c r="F265">
        <f>IF(COUNTIF($A$2:A265, A265)=1, 1, 0)</f>
        <v>1</v>
      </c>
      <c r="G265">
        <f>IF(AND(C265="Внутри сети", COUNTIFS($A$2:A265, A265, $C$2:C265, "Внутри сети")=1), 1, 0)</f>
        <v>1</v>
      </c>
      <c r="H265">
        <f>IF(AND(B265=6, COUNTIFS($A$2:A265, A265, $B$2:B265, 6)=1), 1, 0)</f>
        <v>0</v>
      </c>
      <c r="I265">
        <f>IF(AND(B265=2, COUNTIFS($A$2:A265, A265, $B$2:B265, 2)=1), 1, 0)</f>
        <v>1</v>
      </c>
    </row>
    <row r="266" spans="1:9">
      <c r="A266" s="22">
        <v>77010000126</v>
      </c>
      <c r="B266" s="22">
        <v>2</v>
      </c>
      <c r="C266" s="23" t="s">
        <v>0</v>
      </c>
      <c r="D266" s="22">
        <v>2.98</v>
      </c>
      <c r="E266" s="39">
        <v>7</v>
      </c>
      <c r="F266">
        <f>IF(COUNTIF($A$2:A266, A266)=1, 1, 0)</f>
        <v>1</v>
      </c>
      <c r="G266">
        <f>IF(AND(C266="Внутри сети", COUNTIFS($A$2:A266, A266, $C$2:C266, "Внутри сети")=1), 1, 0)</f>
        <v>1</v>
      </c>
      <c r="H266">
        <f>IF(AND(B266=6, COUNTIFS($A$2:A266, A266, $B$2:B266, 6)=1), 1, 0)</f>
        <v>0</v>
      </c>
      <c r="I266">
        <f>IF(AND(B266=2, COUNTIFS($A$2:A266, A266, $B$2:B266, 2)=1), 1, 0)</f>
        <v>1</v>
      </c>
    </row>
    <row r="267" spans="1:9">
      <c r="A267" s="22">
        <v>77010000127</v>
      </c>
      <c r="B267" s="22">
        <v>2</v>
      </c>
      <c r="C267" s="23" t="s">
        <v>1</v>
      </c>
      <c r="D267" s="22">
        <v>7.84</v>
      </c>
      <c r="E267" s="39">
        <v>7</v>
      </c>
      <c r="F267">
        <f>IF(COUNTIF($A$2:A267, A267)=1, 1, 0)</f>
        <v>1</v>
      </c>
      <c r="G267">
        <f>IF(AND(C267="Внутри сети", COUNTIFS($A$2:A267, A267, $C$2:C267, "Внутри сети")=1), 1, 0)</f>
        <v>0</v>
      </c>
      <c r="H267">
        <f>IF(AND(B267=6, COUNTIFS($A$2:A267, A267, $B$2:B267, 6)=1), 1, 0)</f>
        <v>0</v>
      </c>
      <c r="I267">
        <f>IF(AND(B267=2, COUNTIFS($A$2:A267, A267, $B$2:B267, 2)=1), 1, 0)</f>
        <v>1</v>
      </c>
    </row>
    <row r="268" spans="1:9">
      <c r="A268" s="22">
        <v>77010000100</v>
      </c>
      <c r="B268" s="22">
        <v>2</v>
      </c>
      <c r="C268" s="23" t="s">
        <v>0</v>
      </c>
      <c r="D268" s="22">
        <v>2.98</v>
      </c>
      <c r="E268" s="39">
        <v>7</v>
      </c>
      <c r="F268">
        <f>IF(COUNTIF($A$2:A268, A268)=1, 1, 0)</f>
        <v>1</v>
      </c>
      <c r="G268">
        <f>IF(AND(C268="Внутри сети", COUNTIFS($A$2:A268, A268, $C$2:C268, "Внутри сети")=1), 1, 0)</f>
        <v>1</v>
      </c>
      <c r="H268">
        <f>IF(AND(B268=6, COUNTIFS($A$2:A268, A268, $B$2:B268, 6)=1), 1, 0)</f>
        <v>0</v>
      </c>
      <c r="I268">
        <f>IF(AND(B268=2, COUNTIFS($A$2:A268, A268, $B$2:B268, 2)=1), 1, 0)</f>
        <v>1</v>
      </c>
    </row>
    <row r="269" spans="1:9">
      <c r="A269" s="22">
        <v>77010000102</v>
      </c>
      <c r="B269" s="22">
        <v>2</v>
      </c>
      <c r="C269" s="23" t="s">
        <v>0</v>
      </c>
      <c r="D269" s="22">
        <v>2.98</v>
      </c>
      <c r="E269" s="39">
        <v>7</v>
      </c>
      <c r="F269">
        <f>IF(COUNTIF($A$2:A269, A269)=1, 1, 0)</f>
        <v>1</v>
      </c>
      <c r="G269">
        <f>IF(AND(C269="Внутри сети", COUNTIFS($A$2:A269, A269, $C$2:C269, "Внутри сети")=1), 1, 0)</f>
        <v>1</v>
      </c>
      <c r="H269">
        <f>IF(AND(B269=6, COUNTIFS($A$2:A269, A269, $B$2:B269, 6)=1), 1, 0)</f>
        <v>0</v>
      </c>
      <c r="I269">
        <f>IF(AND(B269=2, COUNTIFS($A$2:A269, A269, $B$2:B269, 2)=1), 1, 0)</f>
        <v>1</v>
      </c>
    </row>
    <row r="270" spans="1:9">
      <c r="A270" s="22">
        <v>77010000124</v>
      </c>
      <c r="B270" s="22">
        <v>2</v>
      </c>
      <c r="C270" s="23" t="s">
        <v>0</v>
      </c>
      <c r="D270" s="22">
        <v>3.41</v>
      </c>
      <c r="E270" s="39">
        <v>8</v>
      </c>
      <c r="F270">
        <f>IF(COUNTIF($A$2:A270, A270)=1, 1, 0)</f>
        <v>1</v>
      </c>
      <c r="G270">
        <f>IF(AND(C270="Внутри сети", COUNTIFS($A$2:A270, A270, $C$2:C270, "Внутри сети")=1), 1, 0)</f>
        <v>1</v>
      </c>
      <c r="H270">
        <f>IF(AND(B270=6, COUNTIFS($A$2:A270, A270, $B$2:B270, 6)=1), 1, 0)</f>
        <v>0</v>
      </c>
      <c r="I270">
        <f>IF(AND(B270=2, COUNTIFS($A$2:A270, A270, $B$2:B270, 2)=1), 1, 0)</f>
        <v>1</v>
      </c>
    </row>
    <row r="271" spans="1:9">
      <c r="A271" s="22">
        <v>77010000111</v>
      </c>
      <c r="B271" s="22">
        <v>2</v>
      </c>
      <c r="C271" s="23" t="s">
        <v>0</v>
      </c>
      <c r="D271" s="22">
        <v>3.84</v>
      </c>
      <c r="E271" s="39">
        <v>9</v>
      </c>
      <c r="F271">
        <f>IF(COUNTIF($A$2:A271, A271)=1, 1, 0)</f>
        <v>1</v>
      </c>
      <c r="G271">
        <f>IF(AND(C271="Внутри сети", COUNTIFS($A$2:A271, A271, $C$2:C271, "Внутри сети")=1), 1, 0)</f>
        <v>1</v>
      </c>
      <c r="H271">
        <f>IF(AND(B271=6, COUNTIFS($A$2:A271, A271, $B$2:B271, 6)=1), 1, 0)</f>
        <v>0</v>
      </c>
      <c r="I271">
        <f>IF(AND(B271=2, COUNTIFS($A$2:A271, A271, $B$2:B271, 2)=1), 1, 0)</f>
        <v>1</v>
      </c>
    </row>
    <row r="272" spans="1:9">
      <c r="A272" s="22">
        <v>77010000129</v>
      </c>
      <c r="B272" s="22">
        <v>2</v>
      </c>
      <c r="C272" s="23" t="s">
        <v>0</v>
      </c>
      <c r="D272" s="22">
        <v>3.84</v>
      </c>
      <c r="E272" s="39">
        <v>9</v>
      </c>
      <c r="F272">
        <f>IF(COUNTIF($A$2:A272, A272)=1, 1, 0)</f>
        <v>1</v>
      </c>
      <c r="G272">
        <f>IF(AND(C272="Внутри сети", COUNTIFS($A$2:A272, A272, $C$2:C272, "Внутри сети")=1), 1, 0)</f>
        <v>1</v>
      </c>
      <c r="H272">
        <f>IF(AND(B272=6, COUNTIFS($A$2:A272, A272, $B$2:B272, 6)=1), 1, 0)</f>
        <v>0</v>
      </c>
      <c r="I272">
        <f>IF(AND(B272=2, COUNTIFS($A$2:A272, A272, $B$2:B272, 2)=1), 1, 0)</f>
        <v>1</v>
      </c>
    </row>
    <row r="273" spans="1:9">
      <c r="A273" s="22">
        <v>77010000110</v>
      </c>
      <c r="B273" s="22">
        <v>2</v>
      </c>
      <c r="C273" s="23" t="s">
        <v>0</v>
      </c>
      <c r="D273" s="22">
        <v>3.84</v>
      </c>
      <c r="E273" s="39">
        <v>9</v>
      </c>
      <c r="F273">
        <f>IF(COUNTIF($A$2:A273, A273)=1, 1, 0)</f>
        <v>0</v>
      </c>
      <c r="G273">
        <f>IF(AND(C273="Внутри сети", COUNTIFS($A$2:A273, A273, $C$2:C273, "Внутри сети")=1), 1, 0)</f>
        <v>0</v>
      </c>
      <c r="H273">
        <f>IF(AND(B273=6, COUNTIFS($A$2:A273, A273, $B$2:B273, 6)=1), 1, 0)</f>
        <v>0</v>
      </c>
      <c r="I273">
        <f>IF(AND(B273=2, COUNTIFS($A$2:A273, A273, $B$2:B273, 2)=1), 1, 0)</f>
        <v>0</v>
      </c>
    </row>
    <row r="274" spans="1:9">
      <c r="A274" s="22">
        <v>77010000128</v>
      </c>
      <c r="B274" s="22">
        <v>2</v>
      </c>
      <c r="C274" s="23" t="s">
        <v>0</v>
      </c>
      <c r="D274" s="22">
        <v>4.26</v>
      </c>
      <c r="E274" s="39">
        <v>10</v>
      </c>
      <c r="F274">
        <f>IF(COUNTIF($A$2:A274, A274)=1, 1, 0)</f>
        <v>0</v>
      </c>
      <c r="G274">
        <f>IF(AND(C274="Внутри сети", COUNTIFS($A$2:A274, A274, $C$2:C274, "Внутри сети")=1), 1, 0)</f>
        <v>0</v>
      </c>
      <c r="H274">
        <f>IF(AND(B274=6, COUNTIFS($A$2:A274, A274, $B$2:B274, 6)=1), 1, 0)</f>
        <v>0</v>
      </c>
      <c r="I274">
        <f>IF(AND(B274=2, COUNTIFS($A$2:A274, A274, $B$2:B274, 2)=1), 1, 0)</f>
        <v>0</v>
      </c>
    </row>
    <row r="275" spans="1:9">
      <c r="A275" s="22">
        <v>77010000120</v>
      </c>
      <c r="B275" s="22">
        <v>2</v>
      </c>
      <c r="C275" s="23" t="s">
        <v>0</v>
      </c>
      <c r="D275" s="22">
        <v>4.26</v>
      </c>
      <c r="E275" s="39">
        <v>10</v>
      </c>
      <c r="F275">
        <f>IF(COUNTIF($A$2:A275, A275)=1, 1, 0)</f>
        <v>0</v>
      </c>
      <c r="G275">
        <f>IF(AND(C275="Внутри сети", COUNTIFS($A$2:A275, A275, $C$2:C275, "Внутри сети")=1), 1, 0)</f>
        <v>0</v>
      </c>
      <c r="H275">
        <f>IF(AND(B275=6, COUNTIFS($A$2:A275, A275, $B$2:B275, 6)=1), 1, 0)</f>
        <v>0</v>
      </c>
      <c r="I275">
        <f>IF(AND(B275=2, COUNTIFS($A$2:A275, A275, $B$2:B275, 2)=1), 1, 0)</f>
        <v>0</v>
      </c>
    </row>
    <row r="276" spans="1:9">
      <c r="A276" s="22">
        <v>77010000098</v>
      </c>
      <c r="B276" s="22">
        <v>2</v>
      </c>
      <c r="C276" s="23" t="s">
        <v>0</v>
      </c>
      <c r="D276" s="22">
        <v>2.2799999999999998</v>
      </c>
      <c r="E276" s="39">
        <v>10</v>
      </c>
      <c r="F276">
        <f>IF(COUNTIF($A$2:A276, A276)=1, 1, 0)</f>
        <v>1</v>
      </c>
      <c r="G276">
        <f>IF(AND(C276="Внутри сети", COUNTIFS($A$2:A276, A276, $C$2:C276, "Внутри сети")=1), 1, 0)</f>
        <v>1</v>
      </c>
      <c r="H276">
        <f>IF(AND(B276=6, COUNTIFS($A$2:A276, A276, $B$2:B276, 6)=1), 1, 0)</f>
        <v>0</v>
      </c>
      <c r="I276">
        <f>IF(AND(B276=2, COUNTIFS($A$2:A276, A276, $B$2:B276, 2)=1), 1, 0)</f>
        <v>1</v>
      </c>
    </row>
    <row r="277" spans="1:9">
      <c r="A277" s="22">
        <v>77010000104</v>
      </c>
      <c r="B277" s="22">
        <v>2</v>
      </c>
      <c r="C277" s="23" t="s">
        <v>0</v>
      </c>
      <c r="D277" s="22">
        <v>4.26</v>
      </c>
      <c r="E277" s="39">
        <v>10</v>
      </c>
      <c r="F277">
        <f>IF(COUNTIF($A$2:A277, A277)=1, 1, 0)</f>
        <v>1</v>
      </c>
      <c r="G277">
        <f>IF(AND(C277="Внутри сети", COUNTIFS($A$2:A277, A277, $C$2:C277, "Внутри сети")=1), 1, 0)</f>
        <v>1</v>
      </c>
      <c r="H277">
        <f>IF(AND(B277=6, COUNTIFS($A$2:A277, A277, $B$2:B277, 6)=1), 1, 0)</f>
        <v>0</v>
      </c>
      <c r="I277">
        <f>IF(AND(B277=2, COUNTIFS($A$2:A277, A277, $B$2:B277, 2)=1), 1, 0)</f>
        <v>1</v>
      </c>
    </row>
    <row r="278" spans="1:9">
      <c r="A278" s="22">
        <v>77010000127</v>
      </c>
      <c r="B278" s="22">
        <v>2</v>
      </c>
      <c r="C278" s="23" t="s">
        <v>1</v>
      </c>
      <c r="D278" s="22">
        <v>15.68</v>
      </c>
      <c r="E278" s="39">
        <v>13</v>
      </c>
      <c r="F278">
        <f>IF(COUNTIF($A$2:A278, A278)=1, 1, 0)</f>
        <v>0</v>
      </c>
      <c r="G278">
        <f>IF(AND(C278="Внутри сети", COUNTIFS($A$2:A278, A278, $C$2:C278, "Внутри сети")=1), 1, 0)</f>
        <v>0</v>
      </c>
      <c r="H278">
        <f>IF(AND(B278=6, COUNTIFS($A$2:A278, A278, $B$2:B278, 6)=1), 1, 0)</f>
        <v>0</v>
      </c>
      <c r="I278">
        <f>IF(AND(B278=2, COUNTIFS($A$2:A278, A278, $B$2:B278, 2)=1), 1, 0)</f>
        <v>0</v>
      </c>
    </row>
    <row r="279" spans="1:9">
      <c r="A279" s="22">
        <v>77010000129</v>
      </c>
      <c r="B279" s="22">
        <v>2</v>
      </c>
      <c r="C279" s="23" t="s">
        <v>0</v>
      </c>
      <c r="D279" s="22">
        <v>5.54</v>
      </c>
      <c r="E279" s="39">
        <v>13</v>
      </c>
      <c r="F279">
        <f>IF(COUNTIF($A$2:A279, A279)=1, 1, 0)</f>
        <v>0</v>
      </c>
      <c r="G279">
        <f>IF(AND(C279="Внутри сети", COUNTIFS($A$2:A279, A279, $C$2:C279, "Внутри сети")=1), 1, 0)</f>
        <v>0</v>
      </c>
      <c r="H279">
        <f>IF(AND(B279=6, COUNTIFS($A$2:A279, A279, $B$2:B279, 6)=1), 1, 0)</f>
        <v>0</v>
      </c>
      <c r="I279">
        <f>IF(AND(B279=2, COUNTIFS($A$2:A279, A279, $B$2:B279, 2)=1), 1, 0)</f>
        <v>0</v>
      </c>
    </row>
    <row r="280" spans="1:9">
      <c r="A280" s="22">
        <v>77010000106</v>
      </c>
      <c r="B280" s="22">
        <v>2</v>
      </c>
      <c r="C280" s="23" t="s">
        <v>0</v>
      </c>
      <c r="D280" s="22">
        <v>5.97</v>
      </c>
      <c r="E280" s="39">
        <v>14</v>
      </c>
      <c r="F280">
        <f>IF(COUNTIF($A$2:A280, A280)=1, 1, 0)</f>
        <v>1</v>
      </c>
      <c r="G280">
        <f>IF(AND(C280="Внутри сети", COUNTIFS($A$2:A280, A280, $C$2:C280, "Внутри сети")=1), 1, 0)</f>
        <v>1</v>
      </c>
      <c r="H280">
        <f>IF(AND(B280=6, COUNTIFS($A$2:A280, A280, $B$2:B280, 6)=1), 1, 0)</f>
        <v>0</v>
      </c>
      <c r="I280">
        <f>IF(AND(B280=2, COUNTIFS($A$2:A280, A280, $B$2:B280, 2)=1), 1, 0)</f>
        <v>1</v>
      </c>
    </row>
    <row r="281" spans="1:9">
      <c r="A281" s="22">
        <v>77010000107</v>
      </c>
      <c r="B281" s="22">
        <v>2</v>
      </c>
      <c r="C281" s="23" t="s">
        <v>0</v>
      </c>
      <c r="D281" s="22">
        <v>5.97</v>
      </c>
      <c r="E281" s="39">
        <v>14</v>
      </c>
      <c r="F281">
        <f>IF(COUNTIF($A$2:A281, A281)=1, 1, 0)</f>
        <v>1</v>
      </c>
      <c r="G281">
        <f>IF(AND(C281="Внутри сети", COUNTIFS($A$2:A281, A281, $C$2:C281, "Внутри сети")=1), 1, 0)</f>
        <v>1</v>
      </c>
      <c r="H281">
        <f>IF(AND(B281=6, COUNTIFS($A$2:A281, A281, $B$2:B281, 6)=1), 1, 0)</f>
        <v>0</v>
      </c>
      <c r="I281">
        <f>IF(AND(B281=2, COUNTIFS($A$2:A281, A281, $B$2:B281, 2)=1), 1, 0)</f>
        <v>1</v>
      </c>
    </row>
    <row r="282" spans="1:9">
      <c r="A282" s="22">
        <v>77010000105</v>
      </c>
      <c r="B282" s="22">
        <v>2</v>
      </c>
      <c r="C282" s="23" t="s">
        <v>0</v>
      </c>
      <c r="D282" s="22">
        <v>5.97</v>
      </c>
      <c r="E282" s="39">
        <v>14</v>
      </c>
      <c r="F282">
        <f>IF(COUNTIF($A$2:A282, A282)=1, 1, 0)</f>
        <v>1</v>
      </c>
      <c r="G282">
        <f>IF(AND(C282="Внутри сети", COUNTIFS($A$2:A282, A282, $C$2:C282, "Внутри сети")=1), 1, 0)</f>
        <v>1</v>
      </c>
      <c r="H282">
        <f>IF(AND(B282=6, COUNTIFS($A$2:A282, A282, $B$2:B282, 6)=1), 1, 0)</f>
        <v>0</v>
      </c>
      <c r="I282">
        <f>IF(AND(B282=2, COUNTIFS($A$2:A282, A282, $B$2:B282, 2)=1), 1, 0)</f>
        <v>1</v>
      </c>
    </row>
    <row r="283" spans="1:9">
      <c r="A283" s="22">
        <v>77010000117</v>
      </c>
      <c r="B283" s="22">
        <v>2</v>
      </c>
      <c r="C283" s="23" t="s">
        <v>0</v>
      </c>
      <c r="D283" s="22">
        <v>7.25</v>
      </c>
      <c r="E283" s="39">
        <v>17</v>
      </c>
      <c r="F283">
        <f>IF(COUNTIF($A$2:A283, A283)=1, 1, 0)</f>
        <v>1</v>
      </c>
      <c r="G283">
        <f>IF(AND(C283="Внутри сети", COUNTIFS($A$2:A283, A283, $C$2:C283, "Внутри сети")=1), 1, 0)</f>
        <v>1</v>
      </c>
      <c r="H283">
        <f>IF(AND(B283=6, COUNTIFS($A$2:A283, A283, $B$2:B283, 6)=1), 1, 0)</f>
        <v>0</v>
      </c>
      <c r="I283">
        <f>IF(AND(B283=2, COUNTIFS($A$2:A283, A283, $B$2:B283, 2)=1), 1, 0)</f>
        <v>1</v>
      </c>
    </row>
    <row r="284" spans="1:9">
      <c r="A284" s="22">
        <v>77010000123</v>
      </c>
      <c r="B284" s="22">
        <v>2</v>
      </c>
      <c r="C284" s="23" t="s">
        <v>0</v>
      </c>
      <c r="D284" s="22">
        <v>7.25</v>
      </c>
      <c r="E284" s="39">
        <v>17</v>
      </c>
      <c r="F284">
        <f>IF(COUNTIF($A$2:A284, A284)=1, 1, 0)</f>
        <v>1</v>
      </c>
      <c r="G284">
        <f>IF(AND(C284="Внутри сети", COUNTIFS($A$2:A284, A284, $C$2:C284, "Внутри сети")=1), 1, 0)</f>
        <v>1</v>
      </c>
      <c r="H284">
        <f>IF(AND(B284=6, COUNTIFS($A$2:A284, A284, $B$2:B284, 6)=1), 1, 0)</f>
        <v>0</v>
      </c>
      <c r="I284">
        <f>IF(AND(B284=2, COUNTIFS($A$2:A284, A284, $B$2:B284, 2)=1), 1, 0)</f>
        <v>1</v>
      </c>
    </row>
    <row r="285" spans="1:9">
      <c r="A285" s="22">
        <v>77010000127</v>
      </c>
      <c r="B285" s="22">
        <v>2</v>
      </c>
      <c r="C285" s="23" t="s">
        <v>1</v>
      </c>
      <c r="D285" s="22">
        <v>15.68</v>
      </c>
      <c r="E285" s="39">
        <v>17</v>
      </c>
      <c r="F285">
        <f>IF(COUNTIF($A$2:A285, A285)=1, 1, 0)</f>
        <v>0</v>
      </c>
      <c r="G285">
        <f>IF(AND(C285="Внутри сети", COUNTIFS($A$2:A285, A285, $C$2:C285, "Внутри сети")=1), 1, 0)</f>
        <v>0</v>
      </c>
      <c r="H285">
        <f>IF(AND(B285=6, COUNTIFS($A$2:A285, A285, $B$2:B285, 6)=1), 1, 0)</f>
        <v>0</v>
      </c>
      <c r="I285">
        <f>IF(AND(B285=2, COUNTIFS($A$2:A285, A285, $B$2:B285, 2)=1), 1, 0)</f>
        <v>0</v>
      </c>
    </row>
    <row r="286" spans="1:9">
      <c r="A286" s="22">
        <v>77010000105</v>
      </c>
      <c r="B286" s="22">
        <v>2</v>
      </c>
      <c r="C286" s="23" t="s">
        <v>0</v>
      </c>
      <c r="D286" s="22">
        <v>7.67</v>
      </c>
      <c r="E286" s="39">
        <v>18</v>
      </c>
      <c r="F286">
        <f>IF(COUNTIF($A$2:A286, A286)=1, 1, 0)</f>
        <v>0</v>
      </c>
      <c r="G286">
        <f>IF(AND(C286="Внутри сети", COUNTIFS($A$2:A286, A286, $C$2:C286, "Внутри сети")=1), 1, 0)</f>
        <v>0</v>
      </c>
      <c r="H286">
        <f>IF(AND(B286=6, COUNTIFS($A$2:A286, A286, $B$2:B286, 6)=1), 1, 0)</f>
        <v>0</v>
      </c>
      <c r="I286">
        <f>IF(AND(B286=2, COUNTIFS($A$2:A286, A286, $B$2:B286, 2)=1), 1, 0)</f>
        <v>0</v>
      </c>
    </row>
    <row r="287" spans="1:9">
      <c r="A287" s="22">
        <v>77010000113</v>
      </c>
      <c r="B287" s="22">
        <v>2</v>
      </c>
      <c r="C287" s="23" t="s">
        <v>0</v>
      </c>
      <c r="D287" s="22">
        <v>4.33</v>
      </c>
      <c r="E287" s="39">
        <v>19</v>
      </c>
      <c r="F287">
        <f>IF(COUNTIF($A$2:A287, A287)=1, 1, 0)</f>
        <v>1</v>
      </c>
      <c r="G287">
        <f>IF(AND(C287="Внутри сети", COUNTIFS($A$2:A287, A287, $C$2:C287, "Внутри сети")=1), 1, 0)</f>
        <v>1</v>
      </c>
      <c r="H287">
        <f>IF(AND(B287=6, COUNTIFS($A$2:A287, A287, $B$2:B287, 6)=1), 1, 0)</f>
        <v>0</v>
      </c>
      <c r="I287">
        <f>IF(AND(B287=2, COUNTIFS($A$2:A287, A287, $B$2:B287, 2)=1), 1, 0)</f>
        <v>1</v>
      </c>
    </row>
    <row r="288" spans="1:9">
      <c r="A288" s="22">
        <v>77010000119</v>
      </c>
      <c r="B288" s="22">
        <v>2</v>
      </c>
      <c r="C288" s="23" t="s">
        <v>0</v>
      </c>
      <c r="D288" s="22">
        <v>4.33</v>
      </c>
      <c r="E288" s="39">
        <v>19</v>
      </c>
      <c r="F288">
        <f>IF(COUNTIF($A$2:A288, A288)=1, 1, 0)</f>
        <v>1</v>
      </c>
      <c r="G288">
        <f>IF(AND(C288="Внутри сети", COUNTIFS($A$2:A288, A288, $C$2:C288, "Внутри сети")=1), 1, 0)</f>
        <v>1</v>
      </c>
      <c r="H288">
        <f>IF(AND(B288=6, COUNTIFS($A$2:A288, A288, $B$2:B288, 6)=1), 1, 0)</f>
        <v>0</v>
      </c>
      <c r="I288">
        <f>IF(AND(B288=2, COUNTIFS($A$2:A288, A288, $B$2:B288, 2)=1), 1, 0)</f>
        <v>1</v>
      </c>
    </row>
    <row r="289" spans="1:9">
      <c r="A289" s="22">
        <v>77010000126</v>
      </c>
      <c r="B289" s="22">
        <v>2</v>
      </c>
      <c r="C289" s="23" t="s">
        <v>0</v>
      </c>
      <c r="D289" s="22">
        <v>8.1</v>
      </c>
      <c r="E289" s="39">
        <v>19</v>
      </c>
      <c r="F289">
        <f>IF(COUNTIF($A$2:A289, A289)=1, 1, 0)</f>
        <v>0</v>
      </c>
      <c r="G289">
        <f>IF(AND(C289="Внутри сети", COUNTIFS($A$2:A289, A289, $C$2:C289, "Внутри сети")=1), 1, 0)</f>
        <v>0</v>
      </c>
      <c r="H289">
        <f>IF(AND(B289=6, COUNTIFS($A$2:A289, A289, $B$2:B289, 6)=1), 1, 0)</f>
        <v>0</v>
      </c>
      <c r="I289">
        <f>IF(AND(B289=2, COUNTIFS($A$2:A289, A289, $B$2:B289, 2)=1), 1, 0)</f>
        <v>0</v>
      </c>
    </row>
    <row r="290" spans="1:9">
      <c r="A290" s="22">
        <v>77010000128</v>
      </c>
      <c r="B290" s="22">
        <v>2</v>
      </c>
      <c r="C290" s="23" t="s">
        <v>0</v>
      </c>
      <c r="D290" s="22">
        <v>4.33</v>
      </c>
      <c r="E290" s="39">
        <v>19</v>
      </c>
      <c r="F290">
        <f>IF(COUNTIF($A$2:A290, A290)=1, 1, 0)</f>
        <v>0</v>
      </c>
      <c r="G290">
        <f>IF(AND(C290="Внутри сети", COUNTIFS($A$2:A290, A290, $C$2:C290, "Внутри сети")=1), 1, 0)</f>
        <v>0</v>
      </c>
      <c r="H290">
        <f>IF(AND(B290=6, COUNTIFS($A$2:A290, A290, $B$2:B290, 6)=1), 1, 0)</f>
        <v>0</v>
      </c>
      <c r="I290">
        <f>IF(AND(B290=2, COUNTIFS($A$2:A290, A290, $B$2:B290, 2)=1), 1, 0)</f>
        <v>0</v>
      </c>
    </row>
    <row r="291" spans="1:9">
      <c r="A291" s="22">
        <v>77010000125</v>
      </c>
      <c r="B291" s="22">
        <v>2</v>
      </c>
      <c r="C291" s="23" t="s">
        <v>0</v>
      </c>
      <c r="D291" s="22">
        <v>5.0199999999999996</v>
      </c>
      <c r="E291" s="39">
        <v>22</v>
      </c>
      <c r="F291">
        <f>IF(COUNTIF($A$2:A291, A291)=1, 1, 0)</f>
        <v>0</v>
      </c>
      <c r="G291">
        <f>IF(AND(C291="Внутри сети", COUNTIFS($A$2:A291, A291, $C$2:C291, "Внутри сети")=1), 1, 0)</f>
        <v>0</v>
      </c>
      <c r="H291">
        <f>IF(AND(B291=6, COUNTIFS($A$2:A291, A291, $B$2:B291, 6)=1), 1, 0)</f>
        <v>0</v>
      </c>
      <c r="I291">
        <f>IF(AND(B291=2, COUNTIFS($A$2:A291, A291, $B$2:B291, 2)=1), 1, 0)</f>
        <v>0</v>
      </c>
    </row>
    <row r="292" spans="1:9">
      <c r="A292" s="22">
        <v>77010000124</v>
      </c>
      <c r="B292" s="22">
        <v>2</v>
      </c>
      <c r="C292" s="23" t="s">
        <v>0</v>
      </c>
      <c r="D292" s="22">
        <v>9.3800000000000008</v>
      </c>
      <c r="E292" s="39">
        <v>22</v>
      </c>
      <c r="F292">
        <f>IF(COUNTIF($A$2:A292, A292)=1, 1, 0)</f>
        <v>0</v>
      </c>
      <c r="G292">
        <f>IF(AND(C292="Внутри сети", COUNTIFS($A$2:A292, A292, $C$2:C292, "Внутри сети")=1), 1, 0)</f>
        <v>0</v>
      </c>
      <c r="H292">
        <f>IF(AND(B292=6, COUNTIFS($A$2:A292, A292, $B$2:B292, 6)=1), 1, 0)</f>
        <v>0</v>
      </c>
      <c r="I292">
        <f>IF(AND(B292=2, COUNTIFS($A$2:A292, A292, $B$2:B292, 2)=1), 1, 0)</f>
        <v>0</v>
      </c>
    </row>
    <row r="293" spans="1:9">
      <c r="A293" s="22">
        <v>77010000116</v>
      </c>
      <c r="B293" s="22">
        <v>2</v>
      </c>
      <c r="C293" s="23" t="s">
        <v>0</v>
      </c>
      <c r="D293" s="22">
        <v>10.23</v>
      </c>
      <c r="E293" s="39">
        <v>24</v>
      </c>
      <c r="F293">
        <f>IF(COUNTIF($A$2:A293, A293)=1, 1, 0)</f>
        <v>1</v>
      </c>
      <c r="G293">
        <f>IF(AND(C293="Внутри сети", COUNTIFS($A$2:A293, A293, $C$2:C293, "Внутри сети")=1), 1, 0)</f>
        <v>1</v>
      </c>
      <c r="H293">
        <f>IF(AND(B293=6, COUNTIFS($A$2:A293, A293, $B$2:B293, 6)=1), 1, 0)</f>
        <v>0</v>
      </c>
      <c r="I293">
        <f>IF(AND(B293=2, COUNTIFS($A$2:A293, A293, $B$2:B293, 2)=1), 1, 0)</f>
        <v>1</v>
      </c>
    </row>
    <row r="294" spans="1:9">
      <c r="A294" s="22">
        <v>77010000122</v>
      </c>
      <c r="B294" s="22">
        <v>2</v>
      </c>
      <c r="C294" s="23" t="s">
        <v>0</v>
      </c>
      <c r="D294" s="22">
        <v>10.23</v>
      </c>
      <c r="E294" s="39">
        <v>24</v>
      </c>
      <c r="F294">
        <f>IF(COUNTIF($A$2:A294, A294)=1, 1, 0)</f>
        <v>1</v>
      </c>
      <c r="G294">
        <f>IF(AND(C294="Внутри сети", COUNTIFS($A$2:A294, A294, $C$2:C294, "Внутри сети")=1), 1, 0)</f>
        <v>1</v>
      </c>
      <c r="H294">
        <f>IF(AND(B294=6, COUNTIFS($A$2:A294, A294, $B$2:B294, 6)=1), 1, 0)</f>
        <v>0</v>
      </c>
      <c r="I294">
        <f>IF(AND(B294=2, COUNTIFS($A$2:A294, A294, $B$2:B294, 2)=1), 1, 0)</f>
        <v>1</v>
      </c>
    </row>
    <row r="295" spans="1:9">
      <c r="A295" s="22">
        <v>77010000123</v>
      </c>
      <c r="B295" s="22">
        <v>2</v>
      </c>
      <c r="C295" s="23" t="s">
        <v>0</v>
      </c>
      <c r="D295" s="22">
        <v>5.47</v>
      </c>
      <c r="E295" s="39">
        <v>24</v>
      </c>
      <c r="F295">
        <f>IF(COUNTIF($A$2:A295, A295)=1, 1, 0)</f>
        <v>0</v>
      </c>
      <c r="G295">
        <f>IF(AND(C295="Внутри сети", COUNTIFS($A$2:A295, A295, $C$2:C295, "Внутри сети")=1), 1, 0)</f>
        <v>0</v>
      </c>
      <c r="H295">
        <f>IF(AND(B295=6, COUNTIFS($A$2:A295, A295, $B$2:B295, 6)=1), 1, 0)</f>
        <v>0</v>
      </c>
      <c r="I295">
        <f>IF(AND(B295=2, COUNTIFS($A$2:A295, A295, $B$2:B295, 2)=1), 1, 0)</f>
        <v>0</v>
      </c>
    </row>
    <row r="296" spans="1:9">
      <c r="A296" s="22">
        <v>77010000106</v>
      </c>
      <c r="B296" s="22">
        <v>2</v>
      </c>
      <c r="C296" s="23" t="s">
        <v>2</v>
      </c>
      <c r="D296" s="22">
        <v>23.52</v>
      </c>
      <c r="E296" s="39">
        <v>26</v>
      </c>
      <c r="F296">
        <f>IF(COUNTIF($A$2:A296, A296)=1, 1, 0)</f>
        <v>0</v>
      </c>
      <c r="G296">
        <f>IF(AND(C296="Внутри сети", COUNTIFS($A$2:A296, A296, $C$2:C296, "Внутри сети")=1), 1, 0)</f>
        <v>0</v>
      </c>
      <c r="H296">
        <f>IF(AND(B296=6, COUNTIFS($A$2:A296, A296, $B$2:B296, 6)=1), 1, 0)</f>
        <v>0</v>
      </c>
      <c r="I296">
        <f>IF(AND(B296=2, COUNTIFS($A$2:A296, A296, $B$2:B296, 2)=1), 1, 0)</f>
        <v>0</v>
      </c>
    </row>
    <row r="297" spans="1:9">
      <c r="A297" s="22">
        <v>77010000121</v>
      </c>
      <c r="B297" s="22">
        <v>2</v>
      </c>
      <c r="C297" s="23" t="s">
        <v>0</v>
      </c>
      <c r="D297" s="22">
        <v>6.38</v>
      </c>
      <c r="E297" s="39">
        <v>28</v>
      </c>
      <c r="F297">
        <f>IF(COUNTIF($A$2:A297, A297)=1, 1, 0)</f>
        <v>0</v>
      </c>
      <c r="G297">
        <f>IF(AND(C297="Внутри сети", COUNTIFS($A$2:A297, A297, $C$2:C297, "Внутри сети")=1), 1, 0)</f>
        <v>0</v>
      </c>
      <c r="H297">
        <f>IF(AND(B297=6, COUNTIFS($A$2:A297, A297, $B$2:B297, 6)=1), 1, 0)</f>
        <v>0</v>
      </c>
      <c r="I297">
        <f>IF(AND(B297=2, COUNTIFS($A$2:A297, A297, $B$2:B297, 2)=1), 1, 0)</f>
        <v>0</v>
      </c>
    </row>
    <row r="298" spans="1:9">
      <c r="A298" s="22">
        <v>77010000109</v>
      </c>
      <c r="B298" s="22">
        <v>2</v>
      </c>
      <c r="C298" s="23" t="s">
        <v>0</v>
      </c>
      <c r="D298" s="22">
        <v>13.21</v>
      </c>
      <c r="E298" s="39">
        <v>31</v>
      </c>
      <c r="F298">
        <f>IF(COUNTIF($A$2:A298, A298)=1, 1, 0)</f>
        <v>1</v>
      </c>
      <c r="G298">
        <f>IF(AND(C298="Внутри сети", COUNTIFS($A$2:A298, A298, $C$2:C298, "Внутри сети")=1), 1, 0)</f>
        <v>1</v>
      </c>
      <c r="H298">
        <f>IF(AND(B298=6, COUNTIFS($A$2:A298, A298, $B$2:B298, 6)=1), 1, 0)</f>
        <v>0</v>
      </c>
      <c r="I298">
        <f>IF(AND(B298=2, COUNTIFS($A$2:A298, A298, $B$2:B298, 2)=1), 1, 0)</f>
        <v>1</v>
      </c>
    </row>
    <row r="299" spans="1:9">
      <c r="A299" s="22">
        <v>77010000124</v>
      </c>
      <c r="B299" s="22">
        <v>2</v>
      </c>
      <c r="C299" s="23" t="s">
        <v>0</v>
      </c>
      <c r="D299" s="22">
        <v>13.64</v>
      </c>
      <c r="E299" s="39">
        <v>32</v>
      </c>
      <c r="F299">
        <f>IF(COUNTIF($A$2:A299, A299)=1, 1, 0)</f>
        <v>0</v>
      </c>
      <c r="G299">
        <f>IF(AND(C299="Внутри сети", COUNTIFS($A$2:A299, A299, $C$2:C299, "Внутри сети")=1), 1, 0)</f>
        <v>0</v>
      </c>
      <c r="H299">
        <f>IF(AND(B299=6, COUNTIFS($A$2:A299, A299, $B$2:B299, 6)=1), 1, 0)</f>
        <v>0</v>
      </c>
      <c r="I299">
        <f>IF(AND(B299=2, COUNTIFS($A$2:A299, A299, $B$2:B299, 2)=1), 1, 0)</f>
        <v>0</v>
      </c>
    </row>
    <row r="300" spans="1:9">
      <c r="A300" s="22">
        <v>77010000126</v>
      </c>
      <c r="B300" s="22">
        <v>2</v>
      </c>
      <c r="C300" s="23" t="s">
        <v>0</v>
      </c>
      <c r="D300" s="22">
        <v>13.64</v>
      </c>
      <c r="E300" s="39">
        <v>32</v>
      </c>
      <c r="F300">
        <f>IF(COUNTIF($A$2:A300, A300)=1, 1, 0)</f>
        <v>0</v>
      </c>
      <c r="G300">
        <f>IF(AND(C300="Внутри сети", COUNTIFS($A$2:A300, A300, $C$2:C300, "Внутри сети")=1), 1, 0)</f>
        <v>0</v>
      </c>
      <c r="H300">
        <f>IF(AND(B300=6, COUNTIFS($A$2:A300, A300, $B$2:B300, 6)=1), 1, 0)</f>
        <v>0</v>
      </c>
      <c r="I300">
        <f>IF(AND(B300=2, COUNTIFS($A$2:A300, A300, $B$2:B300, 2)=1), 1, 0)</f>
        <v>0</v>
      </c>
    </row>
    <row r="301" spans="1:9">
      <c r="A301" s="22">
        <v>77010000108</v>
      </c>
      <c r="B301" s="22">
        <v>2</v>
      </c>
      <c r="C301" s="23" t="s">
        <v>0</v>
      </c>
      <c r="D301" s="22">
        <v>8.2100000000000009</v>
      </c>
      <c r="E301" s="39">
        <v>36</v>
      </c>
      <c r="F301">
        <f>IF(COUNTIF($A$2:A301, A301)=1, 1, 0)</f>
        <v>1</v>
      </c>
      <c r="G301">
        <f>IF(AND(C301="Внутри сети", COUNTIFS($A$2:A301, A301, $C$2:C301, "Внутри сети")=1), 1, 0)</f>
        <v>1</v>
      </c>
      <c r="H301">
        <f>IF(AND(B301=6, COUNTIFS($A$2:A301, A301, $B$2:B301, 6)=1), 1, 0)</f>
        <v>0</v>
      </c>
      <c r="I301">
        <f>IF(AND(B301=2, COUNTIFS($A$2:A301, A301, $B$2:B301, 2)=1), 1, 0)</f>
        <v>1</v>
      </c>
    </row>
    <row r="302" spans="1:9">
      <c r="A302" s="22">
        <v>77010000110</v>
      </c>
      <c r="B302" s="22">
        <v>2</v>
      </c>
      <c r="C302" s="23" t="s">
        <v>0</v>
      </c>
      <c r="D302" s="22">
        <v>8.89</v>
      </c>
      <c r="E302" s="39">
        <v>39</v>
      </c>
      <c r="F302">
        <f>IF(COUNTIF($A$2:A302, A302)=1, 1, 0)</f>
        <v>0</v>
      </c>
      <c r="G302">
        <f>IF(AND(C302="Внутри сети", COUNTIFS($A$2:A302, A302, $C$2:C302, "Внутри сети")=1), 1, 0)</f>
        <v>0</v>
      </c>
      <c r="H302">
        <f>IF(AND(B302=6, COUNTIFS($A$2:A302, A302, $B$2:B302, 6)=1), 1, 0)</f>
        <v>0</v>
      </c>
      <c r="I302">
        <f>IF(AND(B302=2, COUNTIFS($A$2:A302, A302, $B$2:B302, 2)=1), 1, 0)</f>
        <v>0</v>
      </c>
    </row>
    <row r="303" spans="1:9">
      <c r="A303" s="22">
        <v>77010000111</v>
      </c>
      <c r="B303" s="22">
        <v>2</v>
      </c>
      <c r="C303" s="23" t="s">
        <v>0</v>
      </c>
      <c r="D303" s="22">
        <v>8.89</v>
      </c>
      <c r="E303" s="39">
        <v>39</v>
      </c>
      <c r="F303">
        <f>IF(COUNTIF($A$2:A303, A303)=1, 1, 0)</f>
        <v>0</v>
      </c>
      <c r="G303">
        <f>IF(AND(C303="Внутри сети", COUNTIFS($A$2:A303, A303, $C$2:C303, "Внутри сети")=1), 1, 0)</f>
        <v>0</v>
      </c>
      <c r="H303">
        <f>IF(AND(B303=6, COUNTIFS($A$2:A303, A303, $B$2:B303, 6)=1), 1, 0)</f>
        <v>0</v>
      </c>
      <c r="I303">
        <f>IF(AND(B303=2, COUNTIFS($A$2:A303, A303, $B$2:B303, 2)=1), 1, 0)</f>
        <v>0</v>
      </c>
    </row>
    <row r="304" spans="1:9">
      <c r="A304" s="22">
        <v>77010000114</v>
      </c>
      <c r="B304" s="22">
        <v>2</v>
      </c>
      <c r="C304" s="23" t="s">
        <v>0</v>
      </c>
      <c r="D304" s="22">
        <v>17.47</v>
      </c>
      <c r="E304" s="39">
        <v>41</v>
      </c>
      <c r="F304">
        <f>IF(COUNTIF($A$2:A304, A304)=1, 1, 0)</f>
        <v>0</v>
      </c>
      <c r="G304">
        <f>IF(AND(C304="Внутри сети", COUNTIFS($A$2:A304, A304, $C$2:C304, "Внутри сети")=1), 1, 0)</f>
        <v>0</v>
      </c>
      <c r="H304">
        <f>IF(AND(B304=6, COUNTIFS($A$2:A304, A304, $B$2:B304, 6)=1), 1, 0)</f>
        <v>0</v>
      </c>
      <c r="I304">
        <f>IF(AND(B304=2, COUNTIFS($A$2:A304, A304, $B$2:B304, 2)=1), 1, 0)</f>
        <v>0</v>
      </c>
    </row>
    <row r="305" spans="1:9">
      <c r="A305" s="22">
        <v>77010000101</v>
      </c>
      <c r="B305" s="22">
        <v>2</v>
      </c>
      <c r="C305" s="23" t="s">
        <v>0</v>
      </c>
      <c r="D305" s="22">
        <v>17.47</v>
      </c>
      <c r="E305" s="39">
        <v>41</v>
      </c>
      <c r="F305">
        <f>IF(COUNTIF($A$2:A305, A305)=1, 1, 0)</f>
        <v>1</v>
      </c>
      <c r="G305">
        <f>IF(AND(C305="Внутри сети", COUNTIFS($A$2:A305, A305, $C$2:C305, "Внутри сети")=1), 1, 0)</f>
        <v>1</v>
      </c>
      <c r="H305">
        <f>IF(AND(B305=6, COUNTIFS($A$2:A305, A305, $B$2:B305, 6)=1), 1, 0)</f>
        <v>0</v>
      </c>
      <c r="I305">
        <f>IF(AND(B305=2, COUNTIFS($A$2:A305, A305, $B$2:B305, 2)=1), 1, 0)</f>
        <v>1</v>
      </c>
    </row>
    <row r="306" spans="1:9">
      <c r="A306" s="22">
        <v>77010000112</v>
      </c>
      <c r="B306" s="22">
        <v>2</v>
      </c>
      <c r="C306" s="23" t="s">
        <v>0</v>
      </c>
      <c r="D306" s="22">
        <v>18.329999999999998</v>
      </c>
      <c r="E306" s="39">
        <v>43</v>
      </c>
      <c r="F306">
        <f>IF(COUNTIF($A$2:A306, A306)=1, 1, 0)</f>
        <v>0</v>
      </c>
      <c r="G306">
        <f>IF(AND(C306="Внутри сети", COUNTIFS($A$2:A306, A306, $C$2:C306, "Внутри сети")=1), 1, 0)</f>
        <v>0</v>
      </c>
      <c r="H306">
        <f>IF(AND(B306=6, COUNTIFS($A$2:A306, A306, $B$2:B306, 6)=1), 1, 0)</f>
        <v>0</v>
      </c>
      <c r="I306">
        <f>IF(AND(B306=2, COUNTIFS($A$2:A306, A306, $B$2:B306, 2)=1), 1, 0)</f>
        <v>0</v>
      </c>
    </row>
    <row r="307" spans="1:9">
      <c r="A307" s="22">
        <v>77010000129</v>
      </c>
      <c r="B307" s="22">
        <v>2</v>
      </c>
      <c r="C307" s="23" t="s">
        <v>0</v>
      </c>
      <c r="D307" s="22">
        <v>21.31</v>
      </c>
      <c r="E307" s="39">
        <v>50</v>
      </c>
      <c r="F307">
        <f>IF(COUNTIF($A$2:A307, A307)=1, 1, 0)</f>
        <v>0</v>
      </c>
      <c r="G307">
        <f>IF(AND(C307="Внутри сети", COUNTIFS($A$2:A307, A307, $C$2:C307, "Внутри сети")=1), 1, 0)</f>
        <v>0</v>
      </c>
      <c r="H307">
        <f>IF(AND(B307=6, COUNTIFS($A$2:A307, A307, $B$2:B307, 6)=1), 1, 0)</f>
        <v>0</v>
      </c>
      <c r="I307">
        <f>IF(AND(B307=2, COUNTIFS($A$2:A307, A307, $B$2:B307, 2)=1), 1, 0)</f>
        <v>0</v>
      </c>
    </row>
    <row r="308" spans="1:9">
      <c r="A308" s="22">
        <v>77010000108</v>
      </c>
      <c r="B308" s="22">
        <v>2</v>
      </c>
      <c r="C308" s="23" t="s">
        <v>0</v>
      </c>
      <c r="D308" s="22">
        <v>22.59</v>
      </c>
      <c r="E308" s="39">
        <v>53</v>
      </c>
      <c r="F308">
        <f>IF(COUNTIF($A$2:A308, A308)=1, 1, 0)</f>
        <v>0</v>
      </c>
      <c r="G308">
        <f>IF(AND(C308="Внутри сети", COUNTIFS($A$2:A308, A308, $C$2:C308, "Внутри сети")=1), 1, 0)</f>
        <v>0</v>
      </c>
      <c r="H308">
        <f>IF(AND(B308=6, COUNTIFS($A$2:A308, A308, $B$2:B308, 6)=1), 1, 0)</f>
        <v>0</v>
      </c>
      <c r="I308">
        <f>IF(AND(B308=2, COUNTIFS($A$2:A308, A308, $B$2:B308, 2)=1), 1, 0)</f>
        <v>0</v>
      </c>
    </row>
    <row r="309" spans="1:9">
      <c r="A309" s="22">
        <v>77010000115</v>
      </c>
      <c r="B309" s="22">
        <v>2</v>
      </c>
      <c r="C309" s="23" t="s">
        <v>0</v>
      </c>
      <c r="D309" s="22">
        <v>23.01</v>
      </c>
      <c r="E309" s="39">
        <v>54</v>
      </c>
      <c r="F309">
        <f>IF(COUNTIF($A$2:A309, A309)=1, 1, 0)</f>
        <v>0</v>
      </c>
      <c r="G309">
        <f>IF(AND(C309="Внутри сети", COUNTIFS($A$2:A309, A309, $C$2:C309, "Внутри сети")=1), 1, 0)</f>
        <v>0</v>
      </c>
      <c r="H309">
        <f>IF(AND(B309=6, COUNTIFS($A$2:A309, A309, $B$2:B309, 6)=1), 1, 0)</f>
        <v>0</v>
      </c>
      <c r="I309">
        <f>IF(AND(B309=2, COUNTIFS($A$2:A309, A309, $B$2:B309, 2)=1), 1, 0)</f>
        <v>0</v>
      </c>
    </row>
    <row r="310" spans="1:9">
      <c r="A310" s="22">
        <v>77010000113</v>
      </c>
      <c r="B310" s="22">
        <v>2</v>
      </c>
      <c r="C310" s="23" t="s">
        <v>0</v>
      </c>
      <c r="D310" s="22">
        <v>25.15</v>
      </c>
      <c r="E310" s="39">
        <v>59</v>
      </c>
      <c r="F310">
        <f>IF(COUNTIF($A$2:A310, A310)=1, 1, 0)</f>
        <v>0</v>
      </c>
      <c r="G310">
        <f>IF(AND(C310="Внутри сети", COUNTIFS($A$2:A310, A310, $C$2:C310, "Внутри сети")=1), 1, 0)</f>
        <v>0</v>
      </c>
      <c r="H310">
        <f>IF(AND(B310=6, COUNTIFS($A$2:A310, A310, $B$2:B310, 6)=1), 1, 0)</f>
        <v>0</v>
      </c>
      <c r="I310">
        <f>IF(AND(B310=2, COUNTIFS($A$2:A310, A310, $B$2:B310, 2)=1), 1, 0)</f>
        <v>0</v>
      </c>
    </row>
    <row r="311" spans="1:9">
      <c r="A311" s="22">
        <v>77010000123</v>
      </c>
      <c r="B311" s="22">
        <v>2</v>
      </c>
      <c r="C311" s="23" t="s">
        <v>0</v>
      </c>
      <c r="D311" s="22">
        <v>14.14</v>
      </c>
      <c r="E311" s="39">
        <v>62</v>
      </c>
      <c r="F311">
        <f>IF(COUNTIF($A$2:A311, A311)=1, 1, 0)</f>
        <v>0</v>
      </c>
      <c r="G311">
        <f>IF(AND(C311="Внутри сети", COUNTIFS($A$2:A311, A311, $C$2:C311, "Внутри сети")=1), 1, 0)</f>
        <v>0</v>
      </c>
      <c r="H311">
        <f>IF(AND(B311=6, COUNTIFS($A$2:A311, A311, $B$2:B311, 6)=1), 1, 0)</f>
        <v>0</v>
      </c>
      <c r="I311">
        <f>IF(AND(B311=2, COUNTIFS($A$2:A311, A311, $B$2:B311, 2)=1), 1, 0)</f>
        <v>0</v>
      </c>
    </row>
    <row r="312" spans="1:9">
      <c r="A312" s="22">
        <v>77010000121</v>
      </c>
      <c r="B312" s="22">
        <v>2</v>
      </c>
      <c r="C312" s="23" t="s">
        <v>0</v>
      </c>
      <c r="D312" s="22">
        <v>28.13</v>
      </c>
      <c r="E312" s="39">
        <v>66</v>
      </c>
      <c r="F312">
        <f>IF(COUNTIF($A$2:A312, A312)=1, 1, 0)</f>
        <v>0</v>
      </c>
      <c r="G312">
        <f>IF(AND(C312="Внутри сети", COUNTIFS($A$2:A312, A312, $C$2:C312, "Внутри сети")=1), 1, 0)</f>
        <v>0</v>
      </c>
      <c r="H312">
        <f>IF(AND(B312=6, COUNTIFS($A$2:A312, A312, $B$2:B312, 6)=1), 1, 0)</f>
        <v>0</v>
      </c>
      <c r="I312">
        <f>IF(AND(B312=2, COUNTIFS($A$2:A312, A312, $B$2:B312, 2)=1), 1, 0)</f>
        <v>0</v>
      </c>
    </row>
    <row r="313" spans="1:9">
      <c r="A313" s="22">
        <v>77010000099</v>
      </c>
      <c r="B313" s="22">
        <v>2</v>
      </c>
      <c r="C313" s="23" t="s">
        <v>0</v>
      </c>
      <c r="D313" s="22">
        <v>29.83</v>
      </c>
      <c r="E313" s="39">
        <v>70</v>
      </c>
      <c r="F313">
        <f>IF(COUNTIF($A$2:A313, A313)=1, 1, 0)</f>
        <v>1</v>
      </c>
      <c r="G313">
        <f>IF(AND(C313="Внутри сети", COUNTIFS($A$2:A313, A313, $C$2:C313, "Внутри сети")=1), 1, 0)</f>
        <v>1</v>
      </c>
      <c r="H313">
        <f>IF(AND(B313=6, COUNTIFS($A$2:A313, A313, $B$2:B313, 6)=1), 1, 0)</f>
        <v>0</v>
      </c>
      <c r="I313">
        <f>IF(AND(B313=2, COUNTIFS($A$2:A313, A313, $B$2:B313, 2)=1), 1, 0)</f>
        <v>1</v>
      </c>
    </row>
    <row r="314" spans="1:9">
      <c r="A314" s="22">
        <v>77010000122</v>
      </c>
      <c r="B314" s="22">
        <v>2</v>
      </c>
      <c r="C314" s="23" t="s">
        <v>0</v>
      </c>
      <c r="D314" s="22">
        <v>16.87</v>
      </c>
      <c r="E314" s="39">
        <v>74</v>
      </c>
      <c r="F314">
        <f>IF(COUNTIF($A$2:A314, A314)=1, 1, 0)</f>
        <v>0</v>
      </c>
      <c r="G314">
        <f>IF(AND(C314="Внутри сети", COUNTIFS($A$2:A314, A314, $C$2:C314, "Внутри сети")=1), 1, 0)</f>
        <v>0</v>
      </c>
      <c r="H314">
        <f>IF(AND(B314=6, COUNTIFS($A$2:A314, A314, $B$2:B314, 6)=1), 1, 0)</f>
        <v>0</v>
      </c>
      <c r="I314">
        <f>IF(AND(B314=2, COUNTIFS($A$2:A314, A314, $B$2:B314, 2)=1), 1, 0)</f>
        <v>0</v>
      </c>
    </row>
    <row r="315" spans="1:9">
      <c r="A315" s="22">
        <v>77010000099</v>
      </c>
      <c r="B315" s="22">
        <v>2</v>
      </c>
      <c r="C315" s="23" t="s">
        <v>0</v>
      </c>
      <c r="D315" s="22">
        <v>32.39</v>
      </c>
      <c r="E315" s="39">
        <v>76</v>
      </c>
      <c r="F315">
        <f>IF(COUNTIF($A$2:A315, A315)=1, 1, 0)</f>
        <v>0</v>
      </c>
      <c r="G315">
        <f>IF(AND(C315="Внутри сети", COUNTIFS($A$2:A315, A315, $C$2:C315, "Внутри сети")=1), 1, 0)</f>
        <v>0</v>
      </c>
      <c r="H315">
        <f>IF(AND(B315=6, COUNTIFS($A$2:A315, A315, $B$2:B315, 6)=1), 1, 0)</f>
        <v>0</v>
      </c>
      <c r="I315">
        <f>IF(AND(B315=2, COUNTIFS($A$2:A315, A315, $B$2:B315, 2)=1), 1, 0)</f>
        <v>0</v>
      </c>
    </row>
    <row r="316" spans="1:9">
      <c r="A316" s="22">
        <v>77010000109</v>
      </c>
      <c r="B316" s="22">
        <v>2</v>
      </c>
      <c r="C316" s="23" t="s">
        <v>1</v>
      </c>
      <c r="D316" s="22">
        <v>62.72</v>
      </c>
      <c r="E316" s="39">
        <v>79</v>
      </c>
      <c r="F316">
        <f>IF(COUNTIF($A$2:A316, A316)=1, 1, 0)</f>
        <v>0</v>
      </c>
      <c r="G316">
        <f>IF(AND(C316="Внутри сети", COUNTIFS($A$2:A316, A316, $C$2:C316, "Внутри сети")=1), 1, 0)</f>
        <v>0</v>
      </c>
      <c r="H316">
        <f>IF(AND(B316=6, COUNTIFS($A$2:A316, A316, $B$2:B316, 6)=1), 1, 0)</f>
        <v>0</v>
      </c>
      <c r="I316">
        <f>IF(AND(B316=2, COUNTIFS($A$2:A316, A316, $B$2:B316, 2)=1), 1, 0)</f>
        <v>0</v>
      </c>
    </row>
    <row r="317" spans="1:9">
      <c r="A317" s="22">
        <v>77010000109</v>
      </c>
      <c r="B317" s="22">
        <v>2</v>
      </c>
      <c r="C317" s="23" t="s">
        <v>0</v>
      </c>
      <c r="D317" s="22">
        <v>18.47</v>
      </c>
      <c r="E317" s="39">
        <v>81</v>
      </c>
      <c r="F317">
        <f>IF(COUNTIF($A$2:A317, A317)=1, 1, 0)</f>
        <v>0</v>
      </c>
      <c r="G317">
        <f>IF(AND(C317="Внутри сети", COUNTIFS($A$2:A317, A317, $C$2:C317, "Внутри сети")=1), 1, 0)</f>
        <v>0</v>
      </c>
      <c r="H317">
        <f>IF(AND(B317=6, COUNTIFS($A$2:A317, A317, $B$2:B317, 6)=1), 1, 0)</f>
        <v>0</v>
      </c>
      <c r="I317">
        <f>IF(AND(B317=2, COUNTIFS($A$2:A317, A317, $B$2:B317, 2)=1), 1, 0)</f>
        <v>0</v>
      </c>
    </row>
    <row r="318" spans="1:9">
      <c r="A318" s="22">
        <v>77010000107</v>
      </c>
      <c r="B318" s="22">
        <v>2</v>
      </c>
      <c r="C318" s="23" t="s">
        <v>0</v>
      </c>
      <c r="D318" s="22">
        <v>34.950000000000003</v>
      </c>
      <c r="E318" s="39">
        <v>82</v>
      </c>
      <c r="F318">
        <f>IF(COUNTIF($A$2:A318, A318)=1, 1, 0)</f>
        <v>0</v>
      </c>
      <c r="G318">
        <f>IF(AND(C318="Внутри сети", COUNTIFS($A$2:A318, A318, $C$2:C318, "Внутри сети")=1), 1, 0)</f>
        <v>0</v>
      </c>
      <c r="H318">
        <f>IF(AND(B318=6, COUNTIFS($A$2:A318, A318, $B$2:B318, 6)=1), 1, 0)</f>
        <v>0</v>
      </c>
      <c r="I318">
        <f>IF(AND(B318=2, COUNTIFS($A$2:A318, A318, $B$2:B318, 2)=1), 1, 0)</f>
        <v>0</v>
      </c>
    </row>
    <row r="319" spans="1:9">
      <c r="A319" s="22">
        <v>77010000122</v>
      </c>
      <c r="B319" s="22">
        <v>2</v>
      </c>
      <c r="C319" s="23" t="s">
        <v>0</v>
      </c>
      <c r="D319" s="22">
        <v>21.2</v>
      </c>
      <c r="E319" s="39">
        <v>93</v>
      </c>
      <c r="F319">
        <f>IF(COUNTIF($A$2:A319, A319)=1, 1, 0)</f>
        <v>0</v>
      </c>
      <c r="G319">
        <f>IF(AND(C319="Внутри сети", COUNTIFS($A$2:A319, A319, $C$2:C319, "Внутри сети")=1), 1, 0)</f>
        <v>0</v>
      </c>
      <c r="H319">
        <f>IF(AND(B319=6, COUNTIFS($A$2:A319, A319, $B$2:B319, 6)=1), 1, 0)</f>
        <v>0</v>
      </c>
      <c r="I319">
        <f>IF(AND(B319=2, COUNTIFS($A$2:A319, A319, $B$2:B319, 2)=1), 1, 0)</f>
        <v>0</v>
      </c>
    </row>
    <row r="320" spans="1:9">
      <c r="A320" s="22">
        <v>77010000138</v>
      </c>
      <c r="B320" s="22">
        <v>3</v>
      </c>
      <c r="C320" s="23" t="s">
        <v>0</v>
      </c>
      <c r="D320" s="22">
        <v>0.43</v>
      </c>
      <c r="E320" s="39">
        <v>1</v>
      </c>
      <c r="F320">
        <f>IF(COUNTIF($A$2:A320, A320)=1, 1, 0)</f>
        <v>1</v>
      </c>
      <c r="G320">
        <f>IF(AND(C320="Внутри сети", COUNTIFS($A$2:A320, A320, $C$2:C320, "Внутри сети")=1), 1, 0)</f>
        <v>1</v>
      </c>
      <c r="H320">
        <f>IF(AND(B320=6, COUNTIFS($A$2:A320, A320, $B$2:B320, 6)=1), 1, 0)</f>
        <v>0</v>
      </c>
      <c r="I320">
        <f>IF(AND(B320=2, COUNTIFS($A$2:A320, A320, $B$2:B320, 2)=1), 1, 0)</f>
        <v>0</v>
      </c>
    </row>
    <row r="321" spans="1:9">
      <c r="A321" s="22">
        <v>77010000135</v>
      </c>
      <c r="B321" s="22">
        <v>3</v>
      </c>
      <c r="C321" s="23" t="s">
        <v>0</v>
      </c>
      <c r="D321" s="22">
        <v>0.85</v>
      </c>
      <c r="E321" s="39">
        <v>2</v>
      </c>
      <c r="F321">
        <f>IF(COUNTIF($A$2:A321, A321)=1, 1, 0)</f>
        <v>1</v>
      </c>
      <c r="G321">
        <f>IF(AND(C321="Внутри сети", COUNTIFS($A$2:A321, A321, $C$2:C321, "Внутри сети")=1), 1, 0)</f>
        <v>1</v>
      </c>
      <c r="H321">
        <f>IF(AND(B321=6, COUNTIFS($A$2:A321, A321, $B$2:B321, 6)=1), 1, 0)</f>
        <v>0</v>
      </c>
      <c r="I321">
        <f>IF(AND(B321=2, COUNTIFS($A$2:A321, A321, $B$2:B321, 2)=1), 1, 0)</f>
        <v>0</v>
      </c>
    </row>
    <row r="322" spans="1:9">
      <c r="A322" s="22">
        <v>77010000134</v>
      </c>
      <c r="B322" s="22">
        <v>3</v>
      </c>
      <c r="C322" s="23" t="s">
        <v>0</v>
      </c>
      <c r="D322" s="22">
        <v>0.85</v>
      </c>
      <c r="E322" s="39">
        <v>2</v>
      </c>
      <c r="F322">
        <f>IF(COUNTIF($A$2:A322, A322)=1, 1, 0)</f>
        <v>1</v>
      </c>
      <c r="G322">
        <f>IF(AND(C322="Внутри сети", COUNTIFS($A$2:A322, A322, $C$2:C322, "Внутри сети")=1), 1, 0)</f>
        <v>1</v>
      </c>
      <c r="H322">
        <f>IF(AND(B322=6, COUNTIFS($A$2:A322, A322, $B$2:B322, 6)=1), 1, 0)</f>
        <v>0</v>
      </c>
      <c r="I322">
        <f>IF(AND(B322=2, COUNTIFS($A$2:A322, A322, $B$2:B322, 2)=1), 1, 0)</f>
        <v>0</v>
      </c>
    </row>
    <row r="323" spans="1:9">
      <c r="A323" s="22">
        <v>77010000130</v>
      </c>
      <c r="B323" s="22">
        <v>3</v>
      </c>
      <c r="C323" s="23" t="s">
        <v>0</v>
      </c>
      <c r="D323" s="22">
        <v>2.13</v>
      </c>
      <c r="E323" s="39">
        <v>5</v>
      </c>
      <c r="F323">
        <f>IF(COUNTIF($A$2:A323, A323)=1, 1, 0)</f>
        <v>1</v>
      </c>
      <c r="G323">
        <f>IF(AND(C323="Внутри сети", COUNTIFS($A$2:A323, A323, $C$2:C323, "Внутри сети")=1), 1, 0)</f>
        <v>1</v>
      </c>
      <c r="H323">
        <f>IF(AND(B323=6, COUNTIFS($A$2:A323, A323, $B$2:B323, 6)=1), 1, 0)</f>
        <v>0</v>
      </c>
      <c r="I323">
        <f>IF(AND(B323=2, COUNTIFS($A$2:A323, A323, $B$2:B323, 2)=1), 1, 0)</f>
        <v>0</v>
      </c>
    </row>
    <row r="324" spans="1:9">
      <c r="A324" s="22">
        <v>77010000130</v>
      </c>
      <c r="B324" s="22">
        <v>3</v>
      </c>
      <c r="C324" s="23" t="s">
        <v>0</v>
      </c>
      <c r="D324" s="22">
        <v>2.56</v>
      </c>
      <c r="E324" s="39">
        <v>6</v>
      </c>
      <c r="F324">
        <f>IF(COUNTIF($A$2:A324, A324)=1, 1, 0)</f>
        <v>0</v>
      </c>
      <c r="G324">
        <f>IF(AND(C324="Внутри сети", COUNTIFS($A$2:A324, A324, $C$2:C324, "Внутри сети")=1), 1, 0)</f>
        <v>0</v>
      </c>
      <c r="H324">
        <f>IF(AND(B324=6, COUNTIFS($A$2:A324, A324, $B$2:B324, 6)=1), 1, 0)</f>
        <v>0</v>
      </c>
      <c r="I324">
        <f>IF(AND(B324=2, COUNTIFS($A$2:A324, A324, $B$2:B324, 2)=1), 1, 0)</f>
        <v>0</v>
      </c>
    </row>
    <row r="325" spans="1:9">
      <c r="A325" s="22">
        <v>77010000131</v>
      </c>
      <c r="B325" s="22">
        <v>3</v>
      </c>
      <c r="C325" s="23" t="s">
        <v>0</v>
      </c>
      <c r="D325" s="22">
        <v>2.56</v>
      </c>
      <c r="E325" s="39">
        <v>6</v>
      </c>
      <c r="F325">
        <f>IF(COUNTIF($A$2:A325, A325)=1, 1, 0)</f>
        <v>1</v>
      </c>
      <c r="G325">
        <f>IF(AND(C325="Внутри сети", COUNTIFS($A$2:A325, A325, $C$2:C325, "Внутри сети")=1), 1, 0)</f>
        <v>1</v>
      </c>
      <c r="H325">
        <f>IF(AND(B325=6, COUNTIFS($A$2:A325, A325, $B$2:B325, 6)=1), 1, 0)</f>
        <v>0</v>
      </c>
      <c r="I325">
        <f>IF(AND(B325=2, COUNTIFS($A$2:A325, A325, $B$2:B325, 2)=1), 1, 0)</f>
        <v>0</v>
      </c>
    </row>
    <row r="326" spans="1:9">
      <c r="A326" s="22">
        <v>77010000145</v>
      </c>
      <c r="B326" s="22">
        <v>3</v>
      </c>
      <c r="C326" s="23" t="s">
        <v>0</v>
      </c>
      <c r="D326" s="22">
        <v>3.84</v>
      </c>
      <c r="E326" s="39">
        <v>9</v>
      </c>
      <c r="F326">
        <f>IF(COUNTIF($A$2:A326, A326)=1, 1, 0)</f>
        <v>1</v>
      </c>
      <c r="G326">
        <f>IF(AND(C326="Внутри сети", COUNTIFS($A$2:A326, A326, $C$2:C326, "Внутри сети")=1), 1, 0)</f>
        <v>1</v>
      </c>
      <c r="H326">
        <f>IF(AND(B326=6, COUNTIFS($A$2:A326, A326, $B$2:B326, 6)=1), 1, 0)</f>
        <v>0</v>
      </c>
      <c r="I326">
        <f>IF(AND(B326=2, COUNTIFS($A$2:A326, A326, $B$2:B326, 2)=1), 1, 0)</f>
        <v>0</v>
      </c>
    </row>
    <row r="327" spans="1:9">
      <c r="A327" s="22">
        <v>77010000137</v>
      </c>
      <c r="B327" s="22">
        <v>3</v>
      </c>
      <c r="C327" s="23" t="s">
        <v>0</v>
      </c>
      <c r="D327" s="22">
        <v>4.26</v>
      </c>
      <c r="E327" s="39">
        <v>10</v>
      </c>
      <c r="F327">
        <f>IF(COUNTIF($A$2:A327, A327)=1, 1, 0)</f>
        <v>1</v>
      </c>
      <c r="G327">
        <f>IF(AND(C327="Внутри сети", COUNTIFS($A$2:A327, A327, $C$2:C327, "Внутри сети")=1), 1, 0)</f>
        <v>1</v>
      </c>
      <c r="H327">
        <f>IF(AND(B327=6, COUNTIFS($A$2:A327, A327, $B$2:B327, 6)=1), 1, 0)</f>
        <v>0</v>
      </c>
      <c r="I327">
        <f>IF(AND(B327=2, COUNTIFS($A$2:A327, A327, $B$2:B327, 2)=1), 1, 0)</f>
        <v>0</v>
      </c>
    </row>
    <row r="328" spans="1:9">
      <c r="A328" s="22">
        <v>77010000132</v>
      </c>
      <c r="B328" s="22">
        <v>3</v>
      </c>
      <c r="C328" s="23" t="s">
        <v>0</v>
      </c>
      <c r="D328" s="22">
        <v>4.26</v>
      </c>
      <c r="E328" s="39">
        <v>10</v>
      </c>
      <c r="F328">
        <f>IF(COUNTIF($A$2:A328, A328)=1, 1, 0)</f>
        <v>1</v>
      </c>
      <c r="G328">
        <f>IF(AND(C328="Внутри сети", COUNTIFS($A$2:A328, A328, $C$2:C328, "Внутри сети")=1), 1, 0)</f>
        <v>1</v>
      </c>
      <c r="H328">
        <f>IF(AND(B328=6, COUNTIFS($A$2:A328, A328, $B$2:B328, 6)=1), 1, 0)</f>
        <v>0</v>
      </c>
      <c r="I328">
        <f>IF(AND(B328=2, COUNTIFS($A$2:A328, A328, $B$2:B328, 2)=1), 1, 0)</f>
        <v>0</v>
      </c>
    </row>
    <row r="329" spans="1:9">
      <c r="A329" s="22">
        <v>77010000139</v>
      </c>
      <c r="B329" s="22">
        <v>3</v>
      </c>
      <c r="C329" s="23" t="s">
        <v>0</v>
      </c>
      <c r="D329" s="22">
        <v>5.1100000000000003</v>
      </c>
      <c r="E329" s="39">
        <v>12</v>
      </c>
      <c r="F329">
        <f>IF(COUNTIF($A$2:A329, A329)=1, 1, 0)</f>
        <v>1</v>
      </c>
      <c r="G329">
        <f>IF(AND(C329="Внутри сети", COUNTIFS($A$2:A329, A329, $C$2:C329, "Внутри сети")=1), 1, 0)</f>
        <v>1</v>
      </c>
      <c r="H329">
        <f>IF(AND(B329=6, COUNTIFS($A$2:A329, A329, $B$2:B329, 6)=1), 1, 0)</f>
        <v>0</v>
      </c>
      <c r="I329">
        <f>IF(AND(B329=2, COUNTIFS($A$2:A329, A329, $B$2:B329, 2)=1), 1, 0)</f>
        <v>0</v>
      </c>
    </row>
    <row r="330" spans="1:9">
      <c r="A330" s="22">
        <v>77010000135</v>
      </c>
      <c r="B330" s="22">
        <v>3</v>
      </c>
      <c r="C330" s="23" t="s">
        <v>0</v>
      </c>
      <c r="D330" s="22">
        <v>5.54</v>
      </c>
      <c r="E330" s="39">
        <v>13</v>
      </c>
      <c r="F330">
        <f>IF(COUNTIF($A$2:A330, A330)=1, 1, 0)</f>
        <v>0</v>
      </c>
      <c r="G330">
        <f>IF(AND(C330="Внутри сети", COUNTIFS($A$2:A330, A330, $C$2:C330, "Внутри сети")=1), 1, 0)</f>
        <v>0</v>
      </c>
      <c r="H330">
        <f>IF(AND(B330=6, COUNTIFS($A$2:A330, A330, $B$2:B330, 6)=1), 1, 0)</f>
        <v>0</v>
      </c>
      <c r="I330">
        <f>IF(AND(B330=2, COUNTIFS($A$2:A330, A330, $B$2:B330, 2)=1), 1, 0)</f>
        <v>0</v>
      </c>
    </row>
    <row r="331" spans="1:9">
      <c r="A331" s="22">
        <v>77010000136</v>
      </c>
      <c r="B331" s="22">
        <v>3</v>
      </c>
      <c r="C331" s="23" t="s">
        <v>0</v>
      </c>
      <c r="D331" s="22">
        <v>5.97</v>
      </c>
      <c r="E331" s="39">
        <v>14</v>
      </c>
      <c r="F331">
        <f>IF(COUNTIF($A$2:A331, A331)=1, 1, 0)</f>
        <v>1</v>
      </c>
      <c r="G331">
        <f>IF(AND(C331="Внутри сети", COUNTIFS($A$2:A331, A331, $C$2:C331, "Внутри сети")=1), 1, 0)</f>
        <v>1</v>
      </c>
      <c r="H331">
        <f>IF(AND(B331=6, COUNTIFS($A$2:A331, A331, $B$2:B331, 6)=1), 1, 0)</f>
        <v>0</v>
      </c>
      <c r="I331">
        <f>IF(AND(B331=2, COUNTIFS($A$2:A331, A331, $B$2:B331, 2)=1), 1, 0)</f>
        <v>0</v>
      </c>
    </row>
    <row r="332" spans="1:9">
      <c r="A332" s="22">
        <v>77010000144</v>
      </c>
      <c r="B332" s="22">
        <v>3</v>
      </c>
      <c r="C332" s="23" t="s">
        <v>0</v>
      </c>
      <c r="D332" s="22">
        <v>6.39</v>
      </c>
      <c r="E332" s="39">
        <v>15</v>
      </c>
      <c r="F332">
        <f>IF(COUNTIF($A$2:A332, A332)=1, 1, 0)</f>
        <v>1</v>
      </c>
      <c r="G332">
        <f>IF(AND(C332="Внутри сети", COUNTIFS($A$2:A332, A332, $C$2:C332, "Внутри сети")=1), 1, 0)</f>
        <v>1</v>
      </c>
      <c r="H332">
        <f>IF(AND(B332=6, COUNTIFS($A$2:A332, A332, $B$2:B332, 6)=1), 1, 0)</f>
        <v>0</v>
      </c>
      <c r="I332">
        <f>IF(AND(B332=2, COUNTIFS($A$2:A332, A332, $B$2:B332, 2)=1), 1, 0)</f>
        <v>0</v>
      </c>
    </row>
    <row r="333" spans="1:9">
      <c r="A333" s="22">
        <v>77010000143</v>
      </c>
      <c r="B333" s="22">
        <v>3</v>
      </c>
      <c r="C333" s="23" t="s">
        <v>0</v>
      </c>
      <c r="D333" s="22">
        <v>7.67</v>
      </c>
      <c r="E333" s="39">
        <v>18</v>
      </c>
      <c r="F333">
        <f>IF(COUNTIF($A$2:A333, A333)=1, 1, 0)</f>
        <v>1</v>
      </c>
      <c r="G333">
        <f>IF(AND(C333="Внутри сети", COUNTIFS($A$2:A333, A333, $C$2:C333, "Внутри сети")=1), 1, 0)</f>
        <v>1</v>
      </c>
      <c r="H333">
        <f>IF(AND(B333=6, COUNTIFS($A$2:A333, A333, $B$2:B333, 6)=1), 1, 0)</f>
        <v>0</v>
      </c>
      <c r="I333">
        <f>IF(AND(B333=2, COUNTIFS($A$2:A333, A333, $B$2:B333, 2)=1), 1, 0)</f>
        <v>0</v>
      </c>
    </row>
    <row r="334" spans="1:9">
      <c r="A334" s="22">
        <v>77010000131</v>
      </c>
      <c r="B334" s="22">
        <v>3</v>
      </c>
      <c r="C334" s="23" t="s">
        <v>0</v>
      </c>
      <c r="D334" s="22">
        <v>8.52</v>
      </c>
      <c r="E334" s="39">
        <v>20</v>
      </c>
      <c r="F334">
        <f>IF(COUNTIF($A$2:A334, A334)=1, 1, 0)</f>
        <v>0</v>
      </c>
      <c r="G334">
        <f>IF(AND(C334="Внутри сети", COUNTIFS($A$2:A334, A334, $C$2:C334, "Внутри сети")=1), 1, 0)</f>
        <v>0</v>
      </c>
      <c r="H334">
        <f>IF(AND(B334=6, COUNTIFS($A$2:A334, A334, $B$2:B334, 6)=1), 1, 0)</f>
        <v>0</v>
      </c>
      <c r="I334">
        <f>IF(AND(B334=2, COUNTIFS($A$2:A334, A334, $B$2:B334, 2)=1), 1, 0)</f>
        <v>0</v>
      </c>
    </row>
    <row r="335" spans="1:9">
      <c r="A335" s="22">
        <v>77010000141</v>
      </c>
      <c r="B335" s="22">
        <v>3</v>
      </c>
      <c r="C335" s="23" t="s">
        <v>0</v>
      </c>
      <c r="D335" s="22">
        <v>8.9499999999999993</v>
      </c>
      <c r="E335" s="39">
        <v>21</v>
      </c>
      <c r="F335">
        <f>IF(COUNTIF($A$2:A335, A335)=1, 1, 0)</f>
        <v>1</v>
      </c>
      <c r="G335">
        <f>IF(AND(C335="Внутри сети", COUNTIFS($A$2:A335, A335, $C$2:C335, "Внутри сети")=1), 1, 0)</f>
        <v>1</v>
      </c>
      <c r="H335">
        <f>IF(AND(B335=6, COUNTIFS($A$2:A335, A335, $B$2:B335, 6)=1), 1, 0)</f>
        <v>0</v>
      </c>
      <c r="I335">
        <f>IF(AND(B335=2, COUNTIFS($A$2:A335, A335, $B$2:B335, 2)=1), 1, 0)</f>
        <v>0</v>
      </c>
    </row>
    <row r="336" spans="1:9">
      <c r="A336" s="22">
        <v>77010000136</v>
      </c>
      <c r="B336" s="22">
        <v>3</v>
      </c>
      <c r="C336" s="23" t="s">
        <v>0</v>
      </c>
      <c r="D336" s="22">
        <v>9.3800000000000008</v>
      </c>
      <c r="E336" s="39">
        <v>22</v>
      </c>
      <c r="F336">
        <f>IF(COUNTIF($A$2:A336, A336)=1, 1, 0)</f>
        <v>0</v>
      </c>
      <c r="G336">
        <f>IF(AND(C336="Внутри сети", COUNTIFS($A$2:A336, A336, $C$2:C336, "Внутри сети")=1), 1, 0)</f>
        <v>0</v>
      </c>
      <c r="H336">
        <f>IF(AND(B336=6, COUNTIFS($A$2:A336, A336, $B$2:B336, 6)=1), 1, 0)</f>
        <v>0</v>
      </c>
      <c r="I336">
        <f>IF(AND(B336=2, COUNTIFS($A$2:A336, A336, $B$2:B336, 2)=1), 1, 0)</f>
        <v>0</v>
      </c>
    </row>
    <row r="337" spans="1:9">
      <c r="A337" s="22">
        <v>77010000131</v>
      </c>
      <c r="B337" s="22">
        <v>3</v>
      </c>
      <c r="C337" s="23" t="s">
        <v>0</v>
      </c>
      <c r="D337" s="22">
        <v>9.8000000000000007</v>
      </c>
      <c r="E337" s="39">
        <v>23</v>
      </c>
      <c r="F337">
        <f>IF(COUNTIF($A$2:A337, A337)=1, 1, 0)</f>
        <v>0</v>
      </c>
      <c r="G337">
        <f>IF(AND(C337="Внутри сети", COUNTIFS($A$2:A337, A337, $C$2:C337, "Внутри сети")=1), 1, 0)</f>
        <v>0</v>
      </c>
      <c r="H337">
        <f>IF(AND(B337=6, COUNTIFS($A$2:A337, A337, $B$2:B337, 6)=1), 1, 0)</f>
        <v>0</v>
      </c>
      <c r="I337">
        <f>IF(AND(B337=2, COUNTIFS($A$2:A337, A337, $B$2:B337, 2)=1), 1, 0)</f>
        <v>0</v>
      </c>
    </row>
    <row r="338" spans="1:9">
      <c r="A338" s="22">
        <v>77010000133</v>
      </c>
      <c r="B338" s="22">
        <v>3</v>
      </c>
      <c r="C338" s="23" t="s">
        <v>0</v>
      </c>
      <c r="D338" s="22">
        <v>9.8000000000000007</v>
      </c>
      <c r="E338" s="39">
        <v>23</v>
      </c>
      <c r="F338">
        <f>IF(COUNTIF($A$2:A338, A338)=1, 1, 0)</f>
        <v>1</v>
      </c>
      <c r="G338">
        <f>IF(AND(C338="Внутри сети", COUNTIFS($A$2:A338, A338, $C$2:C338, "Внутри сети")=1), 1, 0)</f>
        <v>1</v>
      </c>
      <c r="H338">
        <f>IF(AND(B338=6, COUNTIFS($A$2:A338, A338, $B$2:B338, 6)=1), 1, 0)</f>
        <v>0</v>
      </c>
      <c r="I338">
        <f>IF(AND(B338=2, COUNTIFS($A$2:A338, A338, $B$2:B338, 2)=1), 1, 0)</f>
        <v>0</v>
      </c>
    </row>
    <row r="339" spans="1:9">
      <c r="A339" s="22">
        <v>77010000133</v>
      </c>
      <c r="B339" s="22">
        <v>3</v>
      </c>
      <c r="C339" s="23" t="s">
        <v>0</v>
      </c>
      <c r="D339" s="22">
        <v>10.23</v>
      </c>
      <c r="E339" s="39">
        <v>24</v>
      </c>
      <c r="F339">
        <f>IF(COUNTIF($A$2:A339, A339)=1, 1, 0)</f>
        <v>0</v>
      </c>
      <c r="G339">
        <f>IF(AND(C339="Внутри сети", COUNTIFS($A$2:A339, A339, $C$2:C339, "Внутри сети")=1), 1, 0)</f>
        <v>0</v>
      </c>
      <c r="H339">
        <f>IF(AND(B339=6, COUNTIFS($A$2:A339, A339, $B$2:B339, 6)=1), 1, 0)</f>
        <v>0</v>
      </c>
      <c r="I339">
        <f>IF(AND(B339=2, COUNTIFS($A$2:A339, A339, $B$2:B339, 2)=1), 1, 0)</f>
        <v>0</v>
      </c>
    </row>
    <row r="340" spans="1:9">
      <c r="A340" s="22">
        <v>77010000134</v>
      </c>
      <c r="B340" s="22">
        <v>3</v>
      </c>
      <c r="C340" s="23" t="s">
        <v>0</v>
      </c>
      <c r="D340" s="22">
        <v>11.51</v>
      </c>
      <c r="E340" s="39">
        <v>27</v>
      </c>
      <c r="F340">
        <f>IF(COUNTIF($A$2:A340, A340)=1, 1, 0)</f>
        <v>0</v>
      </c>
      <c r="G340">
        <f>IF(AND(C340="Внутри сети", COUNTIFS($A$2:A340, A340, $C$2:C340, "Внутри сети")=1), 1, 0)</f>
        <v>0</v>
      </c>
      <c r="H340">
        <f>IF(AND(B340=6, COUNTIFS($A$2:A340, A340, $B$2:B340, 6)=1), 1, 0)</f>
        <v>0</v>
      </c>
      <c r="I340">
        <f>IF(AND(B340=2, COUNTIFS($A$2:A340, A340, $B$2:B340, 2)=1), 1, 0)</f>
        <v>0</v>
      </c>
    </row>
    <row r="341" spans="1:9">
      <c r="A341" s="22">
        <v>77010000132</v>
      </c>
      <c r="B341" s="22">
        <v>3</v>
      </c>
      <c r="C341" s="23" t="s">
        <v>4</v>
      </c>
      <c r="D341" s="22">
        <v>0</v>
      </c>
      <c r="E341" s="39">
        <v>31</v>
      </c>
      <c r="F341">
        <f>IF(COUNTIF($A$2:A341, A341)=1, 1, 0)</f>
        <v>0</v>
      </c>
      <c r="G341">
        <f>IF(AND(C341="Внутри сети", COUNTIFS($A$2:A341, A341, $C$2:C341, "Внутри сети")=1), 1, 0)</f>
        <v>0</v>
      </c>
      <c r="H341">
        <f>IF(AND(B341=6, COUNTIFS($A$2:A341, A341, $B$2:B341, 6)=1), 1, 0)</f>
        <v>0</v>
      </c>
      <c r="I341">
        <f>IF(AND(B341=2, COUNTIFS($A$2:A341, A341, $B$2:B341, 2)=1), 1, 0)</f>
        <v>0</v>
      </c>
    </row>
    <row r="342" spans="1:9">
      <c r="A342" s="22">
        <v>77010000146</v>
      </c>
      <c r="B342" s="22">
        <v>3</v>
      </c>
      <c r="C342" s="23" t="s">
        <v>0</v>
      </c>
      <c r="D342" s="22">
        <v>15.77</v>
      </c>
      <c r="E342" s="39">
        <v>37</v>
      </c>
      <c r="F342">
        <f>IF(COUNTIF($A$2:A342, A342)=1, 1, 0)</f>
        <v>1</v>
      </c>
      <c r="G342">
        <f>IF(AND(C342="Внутри сети", COUNTIFS($A$2:A342, A342, $C$2:C342, "Внутри сети")=1), 1, 0)</f>
        <v>1</v>
      </c>
      <c r="H342">
        <f>IF(AND(B342=6, COUNTIFS($A$2:A342, A342, $B$2:B342, 6)=1), 1, 0)</f>
        <v>0</v>
      </c>
      <c r="I342">
        <f>IF(AND(B342=2, COUNTIFS($A$2:A342, A342, $B$2:B342, 2)=1), 1, 0)</f>
        <v>0</v>
      </c>
    </row>
    <row r="343" spans="1:9">
      <c r="A343" s="22">
        <v>77010000130</v>
      </c>
      <c r="B343" s="22">
        <v>3</v>
      </c>
      <c r="C343" s="23" t="s">
        <v>0</v>
      </c>
      <c r="D343" s="22">
        <v>18.75</v>
      </c>
      <c r="E343" s="39">
        <v>44</v>
      </c>
      <c r="F343">
        <f>IF(COUNTIF($A$2:A343, A343)=1, 1, 0)</f>
        <v>0</v>
      </c>
      <c r="G343">
        <f>IF(AND(C343="Внутри сети", COUNTIFS($A$2:A343, A343, $C$2:C343, "Внутри сети")=1), 1, 0)</f>
        <v>0</v>
      </c>
      <c r="H343">
        <f>IF(AND(B343=6, COUNTIFS($A$2:A343, A343, $B$2:B343, 6)=1), 1, 0)</f>
        <v>0</v>
      </c>
      <c r="I343">
        <f>IF(AND(B343=2, COUNTIFS($A$2:A343, A343, $B$2:B343, 2)=1), 1, 0)</f>
        <v>0</v>
      </c>
    </row>
    <row r="344" spans="1:9">
      <c r="A344" s="22">
        <v>77010000140</v>
      </c>
      <c r="B344" s="22">
        <v>3</v>
      </c>
      <c r="C344" s="23" t="s">
        <v>0</v>
      </c>
      <c r="D344" s="22">
        <v>18.75</v>
      </c>
      <c r="E344" s="39">
        <v>44</v>
      </c>
      <c r="F344">
        <f>IF(COUNTIF($A$2:A344, A344)=1, 1, 0)</f>
        <v>1</v>
      </c>
      <c r="G344">
        <f>IF(AND(C344="Внутри сети", COUNTIFS($A$2:A344, A344, $C$2:C344, "Внутри сети")=1), 1, 0)</f>
        <v>1</v>
      </c>
      <c r="H344">
        <f>IF(AND(B344=6, COUNTIFS($A$2:A344, A344, $B$2:B344, 6)=1), 1, 0)</f>
        <v>0</v>
      </c>
      <c r="I344">
        <f>IF(AND(B344=2, COUNTIFS($A$2:A344, A344, $B$2:B344, 2)=1), 1, 0)</f>
        <v>0</v>
      </c>
    </row>
    <row r="345" spans="1:9">
      <c r="A345" s="22">
        <v>77010000133</v>
      </c>
      <c r="B345" s="22">
        <v>3</v>
      </c>
      <c r="C345" s="23" t="s">
        <v>0</v>
      </c>
      <c r="D345" s="22">
        <v>21.74</v>
      </c>
      <c r="E345" s="39">
        <v>51</v>
      </c>
      <c r="F345">
        <f>IF(COUNTIF($A$2:A345, A345)=1, 1, 0)</f>
        <v>0</v>
      </c>
      <c r="G345">
        <f>IF(AND(C345="Внутри сети", COUNTIFS($A$2:A345, A345, $C$2:C345, "Внутри сети")=1), 1, 0)</f>
        <v>0</v>
      </c>
      <c r="H345">
        <f>IF(AND(B345=6, COUNTIFS($A$2:A345, A345, $B$2:B345, 6)=1), 1, 0)</f>
        <v>0</v>
      </c>
      <c r="I345">
        <f>IF(AND(B345=2, COUNTIFS($A$2:A345, A345, $B$2:B345, 2)=1), 1, 0)</f>
        <v>0</v>
      </c>
    </row>
    <row r="346" spans="1:9">
      <c r="A346" s="22">
        <v>77010000130</v>
      </c>
      <c r="B346" s="22">
        <v>3</v>
      </c>
      <c r="C346" s="23" t="s">
        <v>0</v>
      </c>
      <c r="D346" s="22">
        <v>24.72</v>
      </c>
      <c r="E346" s="39">
        <v>58</v>
      </c>
      <c r="F346">
        <f>IF(COUNTIF($A$2:A346, A346)=1, 1, 0)</f>
        <v>0</v>
      </c>
      <c r="G346">
        <f>IF(AND(C346="Внутри сети", COUNTIFS($A$2:A346, A346, $C$2:C346, "Внутри сети")=1), 1, 0)</f>
        <v>0</v>
      </c>
      <c r="H346">
        <f>IF(AND(B346=6, COUNTIFS($A$2:A346, A346, $B$2:B346, 6)=1), 1, 0)</f>
        <v>0</v>
      </c>
      <c r="I346">
        <f>IF(AND(B346=2, COUNTIFS($A$2:A346, A346, $B$2:B346, 2)=1), 1, 0)</f>
        <v>0</v>
      </c>
    </row>
    <row r="347" spans="1:9">
      <c r="A347" s="22">
        <v>77010000132</v>
      </c>
      <c r="B347" s="22">
        <v>3</v>
      </c>
      <c r="C347" s="23" t="s">
        <v>0</v>
      </c>
      <c r="D347" s="22">
        <v>29.41</v>
      </c>
      <c r="E347" s="39">
        <v>69</v>
      </c>
      <c r="F347">
        <f>IF(COUNTIF($A$2:A347, A347)=1, 1, 0)</f>
        <v>0</v>
      </c>
      <c r="G347">
        <f>IF(AND(C347="Внутри сети", COUNTIFS($A$2:A347, A347, $C$2:C347, "Внутри сети")=1), 1, 0)</f>
        <v>0</v>
      </c>
      <c r="H347">
        <f>IF(AND(B347=6, COUNTIFS($A$2:A347, A347, $B$2:B347, 6)=1), 1, 0)</f>
        <v>0</v>
      </c>
      <c r="I347">
        <f>IF(AND(B347=2, COUNTIFS($A$2:A347, A347, $B$2:B347, 2)=1), 1, 0)</f>
        <v>0</v>
      </c>
    </row>
    <row r="348" spans="1:9">
      <c r="A348" s="22">
        <v>77010000142</v>
      </c>
      <c r="B348" s="22">
        <v>3</v>
      </c>
      <c r="C348" s="23" t="s">
        <v>0</v>
      </c>
      <c r="D348" s="22">
        <v>40.49</v>
      </c>
      <c r="E348" s="39">
        <v>95</v>
      </c>
      <c r="F348">
        <f>IF(COUNTIF($A$2:A348, A348)=1, 1, 0)</f>
        <v>1</v>
      </c>
      <c r="G348">
        <f>IF(AND(C348="Внутри сети", COUNTIFS($A$2:A348, A348, $C$2:C348, "Внутри сети")=1), 1, 0)</f>
        <v>1</v>
      </c>
      <c r="H348">
        <f>IF(AND(B348=6, COUNTIFS($A$2:A348, A348, $B$2:B348, 6)=1), 1, 0)</f>
        <v>0</v>
      </c>
      <c r="I348">
        <f>IF(AND(B348=2, COUNTIFS($A$2:A348, A348, $B$2:B348, 2)=1), 1, 0)</f>
        <v>0</v>
      </c>
    </row>
    <row r="349" spans="1:9">
      <c r="A349" s="22">
        <v>77010000150</v>
      </c>
      <c r="B349" s="22">
        <v>4</v>
      </c>
      <c r="C349" s="23" t="s">
        <v>0</v>
      </c>
      <c r="D349" s="22">
        <v>3.25</v>
      </c>
      <c r="E349" s="39">
        <v>8</v>
      </c>
      <c r="F349">
        <f>IF(COUNTIF($A$2:A349, A349)=1, 1, 0)</f>
        <v>1</v>
      </c>
      <c r="G349">
        <f>IF(AND(C349="Внутри сети", COUNTIFS($A$2:A349, A349, $C$2:C349, "Внутри сети")=1), 1, 0)</f>
        <v>1</v>
      </c>
      <c r="H349">
        <f>IF(AND(B349=6, COUNTIFS($A$2:A349, A349, $B$2:B349, 6)=1), 1, 0)</f>
        <v>0</v>
      </c>
      <c r="I349">
        <f>IF(AND(B349=2, COUNTIFS($A$2:A349, A349, $B$2:B349, 2)=1), 1, 0)</f>
        <v>0</v>
      </c>
    </row>
    <row r="350" spans="1:9">
      <c r="A350" s="22">
        <v>77010000148</v>
      </c>
      <c r="B350" s="22">
        <v>4</v>
      </c>
      <c r="C350" s="23" t="s">
        <v>0</v>
      </c>
      <c r="D350" s="22">
        <v>5.69</v>
      </c>
      <c r="E350" s="39">
        <v>14</v>
      </c>
      <c r="F350">
        <f>IF(COUNTIF($A$2:A350, A350)=1, 1, 0)</f>
        <v>1</v>
      </c>
      <c r="G350">
        <f>IF(AND(C350="Внутри сети", COUNTIFS($A$2:A350, A350, $C$2:C350, "Внутри сети")=1), 1, 0)</f>
        <v>1</v>
      </c>
      <c r="H350">
        <f>IF(AND(B350=6, COUNTIFS($A$2:A350, A350, $B$2:B350, 6)=1), 1, 0)</f>
        <v>0</v>
      </c>
      <c r="I350">
        <f>IF(AND(B350=2, COUNTIFS($A$2:A350, A350, $B$2:B350, 2)=1), 1, 0)</f>
        <v>0</v>
      </c>
    </row>
    <row r="351" spans="1:9">
      <c r="A351" s="22">
        <v>77010000150</v>
      </c>
      <c r="B351" s="22">
        <v>4</v>
      </c>
      <c r="C351" s="23" t="s">
        <v>0</v>
      </c>
      <c r="D351" s="22">
        <v>5.69</v>
      </c>
      <c r="E351" s="39">
        <v>14</v>
      </c>
      <c r="F351">
        <f>IF(COUNTIF($A$2:A351, A351)=1, 1, 0)</f>
        <v>0</v>
      </c>
      <c r="G351">
        <f>IF(AND(C351="Внутри сети", COUNTIFS($A$2:A351, A351, $C$2:C351, "Внутри сети")=1), 1, 0)</f>
        <v>0</v>
      </c>
      <c r="H351">
        <f>IF(AND(B351=6, COUNTIFS($A$2:A351, A351, $B$2:B351, 6)=1), 1, 0)</f>
        <v>0</v>
      </c>
      <c r="I351">
        <f>IF(AND(B351=2, COUNTIFS($A$2:A351, A351, $B$2:B351, 2)=1), 1, 0)</f>
        <v>0</v>
      </c>
    </row>
    <row r="352" spans="1:9">
      <c r="A352" s="22">
        <v>77010000147</v>
      </c>
      <c r="B352" s="22">
        <v>4</v>
      </c>
      <c r="C352" s="23" t="s">
        <v>0</v>
      </c>
      <c r="D352" s="22">
        <v>6.5</v>
      </c>
      <c r="E352" s="39">
        <v>16</v>
      </c>
      <c r="F352">
        <f>IF(COUNTIF($A$2:A352, A352)=1, 1, 0)</f>
        <v>1</v>
      </c>
      <c r="G352">
        <f>IF(AND(C352="Внутри сети", COUNTIFS($A$2:A352, A352, $C$2:C352, "Внутри сети")=1), 1, 0)</f>
        <v>1</v>
      </c>
      <c r="H352">
        <f>IF(AND(B352=6, COUNTIFS($A$2:A352, A352, $B$2:B352, 6)=1), 1, 0)</f>
        <v>0</v>
      </c>
      <c r="I352">
        <f>IF(AND(B352=2, COUNTIFS($A$2:A352, A352, $B$2:B352, 2)=1), 1, 0)</f>
        <v>0</v>
      </c>
    </row>
    <row r="353" spans="1:9">
      <c r="A353" s="22">
        <v>77010000149</v>
      </c>
      <c r="B353" s="22">
        <v>4</v>
      </c>
      <c r="C353" s="23" t="s">
        <v>0</v>
      </c>
      <c r="D353" s="22">
        <v>6.5</v>
      </c>
      <c r="E353" s="39">
        <v>16</v>
      </c>
      <c r="F353">
        <f>IF(COUNTIF($A$2:A353, A353)=1, 1, 0)</f>
        <v>1</v>
      </c>
      <c r="G353">
        <f>IF(AND(C353="Внутри сети", COUNTIFS($A$2:A353, A353, $C$2:C353, "Внутри сети")=1), 1, 0)</f>
        <v>1</v>
      </c>
      <c r="H353">
        <f>IF(AND(B353=6, COUNTIFS($A$2:A353, A353, $B$2:B353, 6)=1), 1, 0)</f>
        <v>0</v>
      </c>
      <c r="I353">
        <f>IF(AND(B353=2, COUNTIFS($A$2:A353, A353, $B$2:B353, 2)=1), 1, 0)</f>
        <v>0</v>
      </c>
    </row>
    <row r="354" spans="1:9">
      <c r="A354" s="22">
        <v>77010000151</v>
      </c>
      <c r="B354" s="22">
        <v>4</v>
      </c>
      <c r="C354" s="23" t="s">
        <v>0</v>
      </c>
      <c r="D354" s="22">
        <v>8.5299999999999994</v>
      </c>
      <c r="E354" s="39">
        <v>21</v>
      </c>
      <c r="F354">
        <f>IF(COUNTIF($A$2:A354, A354)=1, 1, 0)</f>
        <v>1</v>
      </c>
      <c r="G354">
        <f>IF(AND(C354="Внутри сети", COUNTIFS($A$2:A354, A354, $C$2:C354, "Внутри сети")=1), 1, 0)</f>
        <v>1</v>
      </c>
      <c r="H354">
        <f>IF(AND(B354=6, COUNTIFS($A$2:A354, A354, $B$2:B354, 6)=1), 1, 0)</f>
        <v>0</v>
      </c>
      <c r="I354">
        <f>IF(AND(B354=2, COUNTIFS($A$2:A354, A354, $B$2:B354, 2)=1), 1, 0)</f>
        <v>0</v>
      </c>
    </row>
    <row r="355" spans="1:9">
      <c r="A355" s="22">
        <v>77010000152</v>
      </c>
      <c r="B355" s="22">
        <v>4</v>
      </c>
      <c r="C355" s="23" t="s">
        <v>0</v>
      </c>
      <c r="D355" s="22">
        <v>8.5299999999999994</v>
      </c>
      <c r="E355" s="39">
        <v>21</v>
      </c>
      <c r="F355">
        <f>IF(COUNTIF($A$2:A355, A355)=1, 1, 0)</f>
        <v>1</v>
      </c>
      <c r="G355">
        <f>IF(AND(C355="Внутри сети", COUNTIFS($A$2:A355, A355, $C$2:C355, "Внутри сети")=1), 1, 0)</f>
        <v>1</v>
      </c>
      <c r="H355">
        <f>IF(AND(B355=6, COUNTIFS($A$2:A355, A355, $B$2:B355, 6)=1), 1, 0)</f>
        <v>0</v>
      </c>
      <c r="I355">
        <f>IF(AND(B355=2, COUNTIFS($A$2:A355, A355, $B$2:B355, 2)=1), 1, 0)</f>
        <v>0</v>
      </c>
    </row>
    <row r="356" spans="1:9">
      <c r="A356" s="22">
        <v>77010000154</v>
      </c>
      <c r="B356" s="22">
        <v>4</v>
      </c>
      <c r="C356" s="23" t="s">
        <v>0</v>
      </c>
      <c r="D356" s="22">
        <v>9.75</v>
      </c>
      <c r="E356" s="39">
        <v>24</v>
      </c>
      <c r="F356">
        <f>IF(COUNTIF($A$2:A356, A356)=1, 1, 0)</f>
        <v>1</v>
      </c>
      <c r="G356">
        <f>IF(AND(C356="Внутри сети", COUNTIFS($A$2:A356, A356, $C$2:C356, "Внутри сети")=1), 1, 0)</f>
        <v>1</v>
      </c>
      <c r="H356">
        <f>IF(AND(B356=6, COUNTIFS($A$2:A356, A356, $B$2:B356, 6)=1), 1, 0)</f>
        <v>0</v>
      </c>
      <c r="I356">
        <f>IF(AND(B356=2, COUNTIFS($A$2:A356, A356, $B$2:B356, 2)=1), 1, 0)</f>
        <v>0</v>
      </c>
    </row>
    <row r="357" spans="1:9">
      <c r="A357" s="22">
        <v>77010000148</v>
      </c>
      <c r="B357" s="22">
        <v>4</v>
      </c>
      <c r="C357" s="23" t="s">
        <v>0</v>
      </c>
      <c r="D357" s="22">
        <v>9.75</v>
      </c>
      <c r="E357" s="39">
        <v>24</v>
      </c>
      <c r="F357">
        <f>IF(COUNTIF($A$2:A357, A357)=1, 1, 0)</f>
        <v>0</v>
      </c>
      <c r="G357">
        <f>IF(AND(C357="Внутри сети", COUNTIFS($A$2:A357, A357, $C$2:C357, "Внутри сети")=1), 1, 0)</f>
        <v>0</v>
      </c>
      <c r="H357">
        <f>IF(AND(B357=6, COUNTIFS($A$2:A357, A357, $B$2:B357, 6)=1), 1, 0)</f>
        <v>0</v>
      </c>
      <c r="I357">
        <f>IF(AND(B357=2, COUNTIFS($A$2:A357, A357, $B$2:B357, 2)=1), 1, 0)</f>
        <v>0</v>
      </c>
    </row>
    <row r="358" spans="1:9">
      <c r="A358" s="22">
        <v>77010000149</v>
      </c>
      <c r="B358" s="22">
        <v>4</v>
      </c>
      <c r="C358" s="23" t="s">
        <v>0</v>
      </c>
      <c r="D358" s="22">
        <v>9.75</v>
      </c>
      <c r="E358" s="39">
        <v>24</v>
      </c>
      <c r="F358">
        <f>IF(COUNTIF($A$2:A358, A358)=1, 1, 0)</f>
        <v>0</v>
      </c>
      <c r="G358">
        <f>IF(AND(C358="Внутри сети", COUNTIFS($A$2:A358, A358, $C$2:C358, "Внутри сети")=1), 1, 0)</f>
        <v>0</v>
      </c>
      <c r="H358">
        <f>IF(AND(B358=6, COUNTIFS($A$2:A358, A358, $B$2:B358, 6)=1), 1, 0)</f>
        <v>0</v>
      </c>
      <c r="I358">
        <f>IF(AND(B358=2, COUNTIFS($A$2:A358, A358, $B$2:B358, 2)=1), 1, 0)</f>
        <v>0</v>
      </c>
    </row>
    <row r="359" spans="1:9">
      <c r="A359" s="22">
        <v>77010000150</v>
      </c>
      <c r="B359" s="22">
        <v>4</v>
      </c>
      <c r="C359" s="23" t="s">
        <v>0</v>
      </c>
      <c r="D359" s="22">
        <v>12.19</v>
      </c>
      <c r="E359" s="39">
        <v>30</v>
      </c>
      <c r="F359">
        <f>IF(COUNTIF($A$2:A359, A359)=1, 1, 0)</f>
        <v>0</v>
      </c>
      <c r="G359">
        <f>IF(AND(C359="Внутри сети", COUNTIFS($A$2:A359, A359, $C$2:C359, "Внутри сети")=1), 1, 0)</f>
        <v>0</v>
      </c>
      <c r="H359">
        <f>IF(AND(B359=6, COUNTIFS($A$2:A359, A359, $B$2:B359, 6)=1), 1, 0)</f>
        <v>0</v>
      </c>
      <c r="I359">
        <f>IF(AND(B359=2, COUNTIFS($A$2:A359, A359, $B$2:B359, 2)=1), 1, 0)</f>
        <v>0</v>
      </c>
    </row>
    <row r="360" spans="1:9">
      <c r="A360" s="22">
        <v>77010000151</v>
      </c>
      <c r="B360" s="22">
        <v>4</v>
      </c>
      <c r="C360" s="23" t="s">
        <v>0</v>
      </c>
      <c r="D360" s="22">
        <v>18.29</v>
      </c>
      <c r="E360" s="39">
        <v>45</v>
      </c>
      <c r="F360">
        <f>IF(COUNTIF($A$2:A360, A360)=1, 1, 0)</f>
        <v>0</v>
      </c>
      <c r="G360">
        <f>IF(AND(C360="Внутри сети", COUNTIFS($A$2:A360, A360, $C$2:C360, "Внутри сети")=1), 1, 0)</f>
        <v>0</v>
      </c>
      <c r="H360">
        <f>IF(AND(B360=6, COUNTIFS($A$2:A360, A360, $B$2:B360, 6)=1), 1, 0)</f>
        <v>0</v>
      </c>
      <c r="I360">
        <f>IF(AND(B360=2, COUNTIFS($A$2:A360, A360, $B$2:B360, 2)=1), 1, 0)</f>
        <v>0</v>
      </c>
    </row>
    <row r="361" spans="1:9">
      <c r="A361" s="22">
        <v>77010000153</v>
      </c>
      <c r="B361" s="22">
        <v>4</v>
      </c>
      <c r="C361" s="23" t="s">
        <v>0</v>
      </c>
      <c r="D361" s="22">
        <v>18.690000000000001</v>
      </c>
      <c r="E361" s="39">
        <v>46</v>
      </c>
      <c r="F361">
        <f>IF(COUNTIF($A$2:A361, A361)=1, 1, 0)</f>
        <v>1</v>
      </c>
      <c r="G361">
        <f>IF(AND(C361="Внутри сети", COUNTIFS($A$2:A361, A361, $C$2:C361, "Внутри сети")=1), 1, 0)</f>
        <v>1</v>
      </c>
      <c r="H361">
        <f>IF(AND(B361=6, COUNTIFS($A$2:A361, A361, $B$2:B361, 6)=1), 1, 0)</f>
        <v>0</v>
      </c>
      <c r="I361">
        <f>IF(AND(B361=2, COUNTIFS($A$2:A361, A361, $B$2:B361, 2)=1), 1, 0)</f>
        <v>0</v>
      </c>
    </row>
    <row r="362" spans="1:9">
      <c r="A362" s="22">
        <v>77010000215</v>
      </c>
      <c r="B362" s="22">
        <v>5</v>
      </c>
      <c r="C362" s="23" t="s">
        <v>0</v>
      </c>
      <c r="D362" s="22">
        <v>14.06</v>
      </c>
      <c r="E362" s="39">
        <v>33</v>
      </c>
      <c r="F362">
        <f>IF(COUNTIF($A$2:A362, A362)=1, 1, 0)</f>
        <v>1</v>
      </c>
      <c r="G362">
        <f>IF(AND(C362="Внутри сети", COUNTIFS($A$2:A362, A362, $C$2:C362, "Внутри сети")=1), 1, 0)</f>
        <v>1</v>
      </c>
      <c r="H362">
        <f>IF(AND(B362=6, COUNTIFS($A$2:A362, A362, $B$2:B362, 6)=1), 1, 0)</f>
        <v>0</v>
      </c>
      <c r="I362">
        <f>IF(AND(B362=2, COUNTIFS($A$2:A362, A362, $B$2:B362, 2)=1), 1, 0)</f>
        <v>0</v>
      </c>
    </row>
    <row r="363" spans="1:9">
      <c r="A363" s="22">
        <v>77010000211</v>
      </c>
      <c r="B363" s="22">
        <v>5</v>
      </c>
      <c r="C363" s="23" t="s">
        <v>0</v>
      </c>
      <c r="D363" s="22">
        <v>13.21</v>
      </c>
      <c r="E363" s="39">
        <v>31</v>
      </c>
      <c r="F363">
        <f>IF(COUNTIF($A$2:A363, A363)=1, 1, 0)</f>
        <v>1</v>
      </c>
      <c r="G363">
        <f>IF(AND(C363="Внутри сети", COUNTIFS($A$2:A363, A363, $C$2:C363, "Внутри сети")=1), 1, 0)</f>
        <v>1</v>
      </c>
      <c r="H363">
        <f>IF(AND(B363=6, COUNTIFS($A$2:A363, A363, $B$2:B363, 6)=1), 1, 0)</f>
        <v>0</v>
      </c>
      <c r="I363">
        <f>IF(AND(B363=2, COUNTIFS($A$2:A363, A363, $B$2:B363, 2)=1), 1, 0)</f>
        <v>0</v>
      </c>
    </row>
    <row r="364" spans="1:9">
      <c r="A364" s="22">
        <v>77010000214</v>
      </c>
      <c r="B364" s="22">
        <v>5</v>
      </c>
      <c r="C364" s="23" t="s">
        <v>0</v>
      </c>
      <c r="D364" s="22">
        <v>11.93</v>
      </c>
      <c r="E364" s="39">
        <v>28</v>
      </c>
      <c r="F364">
        <f>IF(COUNTIF($A$2:A364, A364)=1, 1, 0)</f>
        <v>1</v>
      </c>
      <c r="G364">
        <f>IF(AND(C364="Внутри сети", COUNTIFS($A$2:A364, A364, $C$2:C364, "Внутри сети")=1), 1, 0)</f>
        <v>1</v>
      </c>
      <c r="H364">
        <f>IF(AND(B364=6, COUNTIFS($A$2:A364, A364, $B$2:B364, 6)=1), 1, 0)</f>
        <v>0</v>
      </c>
      <c r="I364">
        <f>IF(AND(B364=2, COUNTIFS($A$2:A364, A364, $B$2:B364, 2)=1), 1, 0)</f>
        <v>0</v>
      </c>
    </row>
    <row r="365" spans="1:9">
      <c r="A365" s="22">
        <v>77010000222</v>
      </c>
      <c r="B365" s="22">
        <v>5</v>
      </c>
      <c r="C365" s="23" t="s">
        <v>0</v>
      </c>
      <c r="D365" s="22">
        <v>11.08</v>
      </c>
      <c r="E365" s="39">
        <v>26</v>
      </c>
      <c r="F365">
        <f>IF(COUNTIF($A$2:A365, A365)=1, 1, 0)</f>
        <v>1</v>
      </c>
      <c r="G365">
        <f>IF(AND(C365="Внутри сети", COUNTIFS($A$2:A365, A365, $C$2:C365, "Внутри сети")=1), 1, 0)</f>
        <v>1</v>
      </c>
      <c r="H365">
        <f>IF(AND(B365=6, COUNTIFS($A$2:A365, A365, $B$2:B365, 6)=1), 1, 0)</f>
        <v>0</v>
      </c>
      <c r="I365">
        <f>IF(AND(B365=2, COUNTIFS($A$2:A365, A365, $B$2:B365, 2)=1), 1, 0)</f>
        <v>0</v>
      </c>
    </row>
    <row r="366" spans="1:9">
      <c r="A366" s="22">
        <v>77010000225</v>
      </c>
      <c r="B366" s="22">
        <v>5</v>
      </c>
      <c r="C366" s="23" t="s">
        <v>0</v>
      </c>
      <c r="D366" s="22">
        <v>11.08</v>
      </c>
      <c r="E366" s="39">
        <v>26</v>
      </c>
      <c r="F366">
        <f>IF(COUNTIF($A$2:A366, A366)=1, 1, 0)</f>
        <v>1</v>
      </c>
      <c r="G366">
        <f>IF(AND(C366="Внутри сети", COUNTIFS($A$2:A366, A366, $C$2:C366, "Внутри сети")=1), 1, 0)</f>
        <v>1</v>
      </c>
      <c r="H366">
        <f>IF(AND(B366=6, COUNTIFS($A$2:A366, A366, $B$2:B366, 6)=1), 1, 0)</f>
        <v>0</v>
      </c>
      <c r="I366">
        <f>IF(AND(B366=2, COUNTIFS($A$2:A366, A366, $B$2:B366, 2)=1), 1, 0)</f>
        <v>0</v>
      </c>
    </row>
    <row r="367" spans="1:9">
      <c r="A367" s="22">
        <v>77010000205</v>
      </c>
      <c r="B367" s="22">
        <v>5</v>
      </c>
      <c r="C367" s="23" t="s">
        <v>0</v>
      </c>
      <c r="D367" s="22">
        <v>10.66</v>
      </c>
      <c r="E367" s="39">
        <v>25</v>
      </c>
      <c r="F367">
        <f>IF(COUNTIF($A$2:A367, A367)=1, 1, 0)</f>
        <v>1</v>
      </c>
      <c r="G367">
        <f>IF(AND(C367="Внутри сети", COUNTIFS($A$2:A367, A367, $C$2:C367, "Внутри сети")=1), 1, 0)</f>
        <v>1</v>
      </c>
      <c r="H367">
        <f>IF(AND(B367=6, COUNTIFS($A$2:A367, A367, $B$2:B367, 6)=1), 1, 0)</f>
        <v>0</v>
      </c>
      <c r="I367">
        <f>IF(AND(B367=2, COUNTIFS($A$2:A367, A367, $B$2:B367, 2)=1), 1, 0)</f>
        <v>0</v>
      </c>
    </row>
    <row r="368" spans="1:9">
      <c r="A368" s="22">
        <v>77010000181</v>
      </c>
      <c r="B368" s="22">
        <v>5</v>
      </c>
      <c r="C368" s="23" t="s">
        <v>0</v>
      </c>
      <c r="D368" s="22">
        <v>9.8000000000000007</v>
      </c>
      <c r="E368" s="39">
        <v>23</v>
      </c>
      <c r="F368">
        <f>IF(COUNTIF($A$2:A368, A368)=1, 1, 0)</f>
        <v>1</v>
      </c>
      <c r="G368">
        <f>IF(AND(C368="Внутри сети", COUNTIFS($A$2:A368, A368, $C$2:C368, "Внутри сети")=1), 1, 0)</f>
        <v>1</v>
      </c>
      <c r="H368">
        <f>IF(AND(B368=6, COUNTIFS($A$2:A368, A368, $B$2:B368, 6)=1), 1, 0)</f>
        <v>0</v>
      </c>
      <c r="I368">
        <f>IF(AND(B368=2, COUNTIFS($A$2:A368, A368, $B$2:B368, 2)=1), 1, 0)</f>
        <v>0</v>
      </c>
    </row>
    <row r="369" spans="1:11">
      <c r="A369" s="22">
        <v>77010000186</v>
      </c>
      <c r="B369" s="22">
        <v>5</v>
      </c>
      <c r="C369" s="23" t="s">
        <v>0</v>
      </c>
      <c r="D369" s="22">
        <v>9.8000000000000007</v>
      </c>
      <c r="E369" s="39">
        <v>23</v>
      </c>
      <c r="F369">
        <f>IF(COUNTIF($A$2:A369, A369)=1, 1, 0)</f>
        <v>1</v>
      </c>
      <c r="G369">
        <f>IF(AND(C369="Внутри сети", COUNTIFS($A$2:A369, A369, $C$2:C369, "Внутри сети")=1), 1, 0)</f>
        <v>1</v>
      </c>
      <c r="H369">
        <f>IF(AND(B369=6, COUNTIFS($A$2:A369, A369, $B$2:B369, 6)=1), 1, 0)</f>
        <v>0</v>
      </c>
      <c r="I369">
        <f>IF(AND(B369=2, COUNTIFS($A$2:A369, A369, $B$2:B369, 2)=1), 1, 0)</f>
        <v>0</v>
      </c>
    </row>
    <row r="370" spans="1:11">
      <c r="A370" s="22">
        <v>77010000229</v>
      </c>
      <c r="B370" s="22">
        <v>5</v>
      </c>
      <c r="C370" s="23" t="s">
        <v>0</v>
      </c>
      <c r="D370" s="22">
        <v>9.8000000000000007</v>
      </c>
      <c r="E370" s="39">
        <v>23</v>
      </c>
      <c r="F370">
        <f>IF(COUNTIF($A$2:A370, A370)=1, 1, 0)</f>
        <v>1</v>
      </c>
      <c r="G370">
        <f>IF(AND(C370="Внутри сети", COUNTIFS($A$2:A370, A370, $C$2:C370, "Внутри сети")=1), 1, 0)</f>
        <v>1</v>
      </c>
      <c r="H370">
        <f>IF(AND(B370=6, COUNTIFS($A$2:A370, A370, $B$2:B370, 6)=1), 1, 0)</f>
        <v>0</v>
      </c>
      <c r="I370">
        <f>IF(AND(B370=2, COUNTIFS($A$2:A370, A370, $B$2:B370, 2)=1), 1, 0)</f>
        <v>0</v>
      </c>
    </row>
    <row r="371" spans="1:11">
      <c r="A371" s="22">
        <v>77010000170</v>
      </c>
      <c r="B371" s="22">
        <v>5</v>
      </c>
      <c r="C371" s="23" t="s">
        <v>0</v>
      </c>
      <c r="D371" s="22">
        <v>9.3800000000000008</v>
      </c>
      <c r="E371" s="39">
        <v>22</v>
      </c>
      <c r="F371">
        <f>IF(COUNTIF($A$2:A371, A371)=1, 1, 0)</f>
        <v>1</v>
      </c>
      <c r="G371">
        <f>IF(AND(C371="Внутри сети", COUNTIFS($A$2:A371, A371, $C$2:C371, "Внутри сети")=1), 1, 0)</f>
        <v>1</v>
      </c>
      <c r="H371">
        <f>IF(AND(B371=6, COUNTIFS($A$2:A371, A371, $B$2:B371, 6)=1), 1, 0)</f>
        <v>0</v>
      </c>
      <c r="I371">
        <f>IF(AND(B371=2, COUNTIFS($A$2:A371, A371, $B$2:B371, 2)=1), 1, 0)</f>
        <v>0</v>
      </c>
    </row>
    <row r="372" spans="1:11">
      <c r="A372" s="22">
        <v>77010000173</v>
      </c>
      <c r="B372" s="22">
        <v>5</v>
      </c>
      <c r="C372" s="23" t="s">
        <v>0</v>
      </c>
      <c r="D372" s="22">
        <v>9.3800000000000008</v>
      </c>
      <c r="E372" s="39">
        <v>22</v>
      </c>
      <c r="F372">
        <f>IF(COUNTIF($A$2:A372, A372)=1, 1, 0)</f>
        <v>1</v>
      </c>
      <c r="G372">
        <f>IF(AND(C372="Внутри сети", COUNTIFS($A$2:A372, A372, $C$2:C372, "Внутри сети")=1), 1, 0)</f>
        <v>1</v>
      </c>
      <c r="H372">
        <f>IF(AND(B372=6, COUNTIFS($A$2:A372, A372, $B$2:B372, 6)=1), 1, 0)</f>
        <v>0</v>
      </c>
      <c r="I372">
        <f>IF(AND(B372=2, COUNTIFS($A$2:A372, A372, $B$2:B372, 2)=1), 1, 0)</f>
        <v>0</v>
      </c>
    </row>
    <row r="373" spans="1:11">
      <c r="A373" s="22">
        <v>77010000211</v>
      </c>
      <c r="B373" s="22">
        <v>5</v>
      </c>
      <c r="C373" s="23" t="s">
        <v>0</v>
      </c>
      <c r="D373" s="22">
        <v>9.3800000000000008</v>
      </c>
      <c r="E373" s="39">
        <v>22</v>
      </c>
      <c r="F373">
        <f>IF(COUNTIF($A$2:A373, A373)=1, 1, 0)</f>
        <v>0</v>
      </c>
      <c r="G373">
        <f>IF(AND(C373="Внутри сети", COUNTIFS($A$2:A373, A373, $C$2:C373, "Внутри сети")=1), 1, 0)</f>
        <v>0</v>
      </c>
      <c r="H373">
        <f>IF(AND(B373=6, COUNTIFS($A$2:A373, A373, $B$2:B373, 6)=1), 1, 0)</f>
        <v>0</v>
      </c>
      <c r="I373">
        <f>IF(AND(B373=2, COUNTIFS($A$2:A373, A373, $B$2:B373, 2)=1), 1, 0)</f>
        <v>0</v>
      </c>
    </row>
    <row r="374" spans="1:11">
      <c r="A374" s="22">
        <v>77010000196</v>
      </c>
      <c r="B374" s="22">
        <v>5</v>
      </c>
      <c r="C374" s="23" t="s">
        <v>0</v>
      </c>
      <c r="D374" s="22">
        <v>8.9499999999999993</v>
      </c>
      <c r="E374" s="39">
        <v>21</v>
      </c>
      <c r="F374">
        <f>IF(COUNTIF($A$2:A374, A374)=1, 1, 0)</f>
        <v>1</v>
      </c>
      <c r="G374">
        <f>IF(AND(C374="Внутри сети", COUNTIFS($A$2:A374, A374, $C$2:C374, "Внутри сети")=1), 1, 0)</f>
        <v>1</v>
      </c>
      <c r="H374">
        <f>IF(AND(B374=6, COUNTIFS($A$2:A374, A374, $B$2:B374, 6)=1), 1, 0)</f>
        <v>0</v>
      </c>
      <c r="I374">
        <f>IF(AND(B374=2, COUNTIFS($A$2:A374, A374, $B$2:B374, 2)=1), 1, 0)</f>
        <v>0</v>
      </c>
    </row>
    <row r="375" spans="1:11">
      <c r="A375" s="22">
        <v>77010000204</v>
      </c>
      <c r="B375" s="22">
        <v>5</v>
      </c>
      <c r="C375" s="23" t="s">
        <v>0</v>
      </c>
      <c r="D375" s="22">
        <v>8.52</v>
      </c>
      <c r="E375" s="39">
        <v>20</v>
      </c>
      <c r="F375">
        <f>IF(COUNTIF($A$2:A375, A375)=1, 1, 0)</f>
        <v>1</v>
      </c>
      <c r="G375">
        <f>IF(AND(C375="Внутри сети", COUNTIFS($A$2:A375, A375, $C$2:C375, "Внутри сети")=1), 1, 0)</f>
        <v>1</v>
      </c>
      <c r="H375">
        <f>IF(AND(B375=6, COUNTIFS($A$2:A375, A375, $B$2:B375, 6)=1), 1, 0)</f>
        <v>0</v>
      </c>
      <c r="I375">
        <f>IF(AND(B375=2, COUNTIFS($A$2:A375, A375, $B$2:B375, 2)=1), 1, 0)</f>
        <v>0</v>
      </c>
    </row>
    <row r="376" spans="1:11">
      <c r="A376" s="22">
        <v>77010000208</v>
      </c>
      <c r="B376" s="22">
        <v>5</v>
      </c>
      <c r="C376" s="23" t="s">
        <v>2</v>
      </c>
      <c r="D376" s="22">
        <v>14.87</v>
      </c>
      <c r="E376" s="39">
        <v>20</v>
      </c>
      <c r="F376">
        <f>IF(COUNTIF($A$2:A376, A376)=1, 1, 0)</f>
        <v>1</v>
      </c>
      <c r="G376">
        <f>IF(AND(C376="Внутри сети", COUNTIFS($A$2:A376, A376, $C$2:C376, "Внутри сети")=1), 1, 0)</f>
        <v>0</v>
      </c>
      <c r="H376">
        <f>IF(AND(B376=6, COUNTIFS($A$2:A376, A376, $B$2:B376, 6)=1), 1, 0)</f>
        <v>0</v>
      </c>
      <c r="I376">
        <f>IF(AND(B376=2, COUNTIFS($A$2:A376, A376, $B$2:B376, 2)=1), 1, 0)</f>
        <v>0</v>
      </c>
    </row>
    <row r="377" spans="1:11">
      <c r="A377" s="22">
        <v>77010000234</v>
      </c>
      <c r="B377" s="22">
        <v>5</v>
      </c>
      <c r="C377" s="23" t="s">
        <v>0</v>
      </c>
      <c r="D377" s="22">
        <v>8.52</v>
      </c>
      <c r="E377" s="39">
        <v>20</v>
      </c>
      <c r="F377">
        <f>IF(COUNTIF($A$2:A377, A377)=1, 1, 0)</f>
        <v>1</v>
      </c>
      <c r="G377">
        <f>IF(AND(C377="Внутри сети", COUNTIFS($A$2:A377, A377, $C$2:C377, "Внутри сети")=1), 1, 0)</f>
        <v>1</v>
      </c>
      <c r="H377">
        <f>IF(AND(B377=6, COUNTIFS($A$2:A377, A377, $B$2:B377, 6)=1), 1, 0)</f>
        <v>0</v>
      </c>
      <c r="I377">
        <f>IF(AND(B377=2, COUNTIFS($A$2:A377, A377, $B$2:B377, 2)=1), 1, 0)</f>
        <v>0</v>
      </c>
    </row>
    <row r="378" spans="1:11">
      <c r="A378" s="22">
        <v>77010000183</v>
      </c>
      <c r="B378" s="22">
        <v>5</v>
      </c>
      <c r="C378" s="23" t="s">
        <v>0</v>
      </c>
      <c r="D378" s="22">
        <v>8.1</v>
      </c>
      <c r="E378" s="39">
        <v>19</v>
      </c>
      <c r="F378">
        <f>IF(COUNTIF($A$2:A378, A378)=1, 1, 0)</f>
        <v>1</v>
      </c>
      <c r="G378">
        <f>IF(AND(C378="Внутри сети", COUNTIFS($A$2:A378, A378, $C$2:C378, "Внутри сети")=1), 1, 0)</f>
        <v>1</v>
      </c>
      <c r="H378">
        <f>IF(AND(B378=6, COUNTIFS($A$2:A378, A378, $B$2:B378, 6)=1), 1, 0)</f>
        <v>0</v>
      </c>
      <c r="I378">
        <f>IF(AND(B378=2, COUNTIFS($A$2:A378, A378, $B$2:B378, 2)=1), 1, 0)</f>
        <v>0</v>
      </c>
    </row>
    <row r="379" spans="1:11">
      <c r="A379" s="22">
        <v>77010000176</v>
      </c>
      <c r="B379" s="22">
        <v>5</v>
      </c>
      <c r="C379" s="23" t="s">
        <v>0</v>
      </c>
      <c r="D379" s="22">
        <v>8.1</v>
      </c>
      <c r="E379" s="39">
        <v>19</v>
      </c>
      <c r="F379">
        <f>IF(COUNTIF($A$2:A379, A379)=1, 1, 0)</f>
        <v>1</v>
      </c>
      <c r="G379">
        <f>IF(AND(C379="Внутри сети", COUNTIFS($A$2:A379, A379, $C$2:C379, "Внутри сети")=1), 1, 0)</f>
        <v>1</v>
      </c>
      <c r="H379">
        <f>IF(AND(B379=6, COUNTIFS($A$2:A379, A379, $B$2:B379, 6)=1), 1, 0)</f>
        <v>0</v>
      </c>
      <c r="I379">
        <f>IF(AND(B379=2, COUNTIFS($A$2:A379, A379, $B$2:B379, 2)=1), 1, 0)</f>
        <v>0</v>
      </c>
    </row>
    <row r="380" spans="1:11">
      <c r="A380" s="22">
        <v>77010000180</v>
      </c>
      <c r="B380" s="22">
        <v>5</v>
      </c>
      <c r="C380" s="23" t="s">
        <v>0</v>
      </c>
      <c r="D380" s="22">
        <v>8.1</v>
      </c>
      <c r="E380" s="39">
        <v>19</v>
      </c>
      <c r="F380">
        <f>IF(COUNTIF($A$2:A380, A380)=1, 1, 0)</f>
        <v>1</v>
      </c>
      <c r="G380">
        <f>IF(AND(C380="Внутри сети", COUNTIFS($A$2:A380, A380, $C$2:C380, "Внутри сети")=1), 1, 0)</f>
        <v>1</v>
      </c>
      <c r="H380">
        <f>IF(AND(B380=6, COUNTIFS($A$2:A380, A380, $B$2:B380, 6)=1), 1, 0)</f>
        <v>0</v>
      </c>
      <c r="I380">
        <f>IF(AND(B380=2, COUNTIFS($A$2:A380, A380, $B$2:B380, 2)=1), 1, 0)</f>
        <v>0</v>
      </c>
      <c r="K380" s="2"/>
    </row>
    <row r="381" spans="1:11">
      <c r="A381" s="22">
        <v>77010000232</v>
      </c>
      <c r="B381" s="22">
        <v>5</v>
      </c>
      <c r="C381" s="23" t="s">
        <v>0</v>
      </c>
      <c r="D381" s="22">
        <v>8.1</v>
      </c>
      <c r="E381" s="39">
        <v>19</v>
      </c>
      <c r="F381">
        <f>IF(COUNTIF($A$2:A381, A381)=1, 1, 0)</f>
        <v>1</v>
      </c>
      <c r="G381">
        <f>IF(AND(C381="Внутри сети", COUNTIFS($A$2:A381, A381, $C$2:C381, "Внутри сети")=1), 1, 0)</f>
        <v>1</v>
      </c>
      <c r="H381">
        <f>IF(AND(B381=6, COUNTIFS($A$2:A381, A381, $B$2:B381, 6)=1), 1, 0)</f>
        <v>0</v>
      </c>
      <c r="I381">
        <f>IF(AND(B381=2, COUNTIFS($A$2:A381, A381, $B$2:B381, 2)=1), 1, 0)</f>
        <v>0</v>
      </c>
    </row>
    <row r="382" spans="1:11">
      <c r="A382" s="22">
        <v>77010000179</v>
      </c>
      <c r="B382" s="22">
        <v>5</v>
      </c>
      <c r="C382" s="23" t="s">
        <v>0</v>
      </c>
      <c r="D382" s="22">
        <v>7.67</v>
      </c>
      <c r="E382" s="39">
        <v>18</v>
      </c>
      <c r="F382">
        <f>IF(COUNTIF($A$2:A382, A382)=1, 1, 0)</f>
        <v>1</v>
      </c>
      <c r="G382">
        <f>IF(AND(C382="Внутри сети", COUNTIFS($A$2:A382, A382, $C$2:C382, "Внутри сети")=1), 1, 0)</f>
        <v>1</v>
      </c>
      <c r="H382">
        <f>IF(AND(B382=6, COUNTIFS($A$2:A382, A382, $B$2:B382, 6)=1), 1, 0)</f>
        <v>0</v>
      </c>
      <c r="I382">
        <f>IF(AND(B382=2, COUNTIFS($A$2:A382, A382, $B$2:B382, 2)=1), 1, 0)</f>
        <v>0</v>
      </c>
    </row>
    <row r="383" spans="1:11">
      <c r="A383" s="22">
        <v>77010000188</v>
      </c>
      <c r="B383" s="22">
        <v>5</v>
      </c>
      <c r="C383" s="23" t="s">
        <v>0</v>
      </c>
      <c r="D383" s="22">
        <v>7.67</v>
      </c>
      <c r="E383" s="39">
        <v>18</v>
      </c>
      <c r="F383">
        <f>IF(COUNTIF($A$2:A383, A383)=1, 1, 0)</f>
        <v>1</v>
      </c>
      <c r="G383">
        <f>IF(AND(C383="Внутри сети", COUNTIFS($A$2:A383, A383, $C$2:C383, "Внутри сети")=1), 1, 0)</f>
        <v>1</v>
      </c>
      <c r="H383">
        <f>IF(AND(B383=6, COUNTIFS($A$2:A383, A383, $B$2:B383, 6)=1), 1, 0)</f>
        <v>0</v>
      </c>
      <c r="I383">
        <f>IF(AND(B383=2, COUNTIFS($A$2:A383, A383, $B$2:B383, 2)=1), 1, 0)</f>
        <v>0</v>
      </c>
    </row>
    <row r="384" spans="1:11">
      <c r="A384" s="22">
        <v>77010000191</v>
      </c>
      <c r="B384" s="22">
        <v>5</v>
      </c>
      <c r="C384" s="23" t="s">
        <v>0</v>
      </c>
      <c r="D384" s="22">
        <v>7.67</v>
      </c>
      <c r="E384" s="39">
        <v>18</v>
      </c>
      <c r="F384">
        <f>IF(COUNTIF($A$2:A384, A384)=1, 1, 0)</f>
        <v>1</v>
      </c>
      <c r="G384">
        <f>IF(AND(C384="Внутри сети", COUNTIFS($A$2:A384, A384, $C$2:C384, "Внутри сети")=1), 1, 0)</f>
        <v>1</v>
      </c>
      <c r="H384">
        <f>IF(AND(B384=6, COUNTIFS($A$2:A384, A384, $B$2:B384, 6)=1), 1, 0)</f>
        <v>0</v>
      </c>
      <c r="I384">
        <f>IF(AND(B384=2, COUNTIFS($A$2:A384, A384, $B$2:B384, 2)=1), 1, 0)</f>
        <v>0</v>
      </c>
    </row>
    <row r="385" spans="1:9">
      <c r="A385" s="22">
        <v>77010000194</v>
      </c>
      <c r="B385" s="22">
        <v>5</v>
      </c>
      <c r="C385" s="23" t="s">
        <v>0</v>
      </c>
      <c r="D385" s="22">
        <v>7.67</v>
      </c>
      <c r="E385" s="39">
        <v>18</v>
      </c>
      <c r="F385">
        <f>IF(COUNTIF($A$2:A385, A385)=1, 1, 0)</f>
        <v>1</v>
      </c>
      <c r="G385">
        <f>IF(AND(C385="Внутри сети", COUNTIFS($A$2:A385, A385, $C$2:C385, "Внутри сети")=1), 1, 0)</f>
        <v>1</v>
      </c>
      <c r="H385">
        <f>IF(AND(B385=6, COUNTIFS($A$2:A385, A385, $B$2:B385, 6)=1), 1, 0)</f>
        <v>0</v>
      </c>
      <c r="I385">
        <f>IF(AND(B385=2, COUNTIFS($A$2:A385, A385, $B$2:B385, 2)=1), 1, 0)</f>
        <v>0</v>
      </c>
    </row>
    <row r="386" spans="1:9">
      <c r="A386" s="22">
        <v>77010000195</v>
      </c>
      <c r="B386" s="22">
        <v>5</v>
      </c>
      <c r="C386" s="23" t="s">
        <v>0</v>
      </c>
      <c r="D386" s="22">
        <v>7.67</v>
      </c>
      <c r="E386" s="39">
        <v>18</v>
      </c>
      <c r="F386">
        <f>IF(COUNTIF($A$2:A386, A386)=1, 1, 0)</f>
        <v>1</v>
      </c>
      <c r="G386">
        <f>IF(AND(C386="Внутри сети", COUNTIFS($A$2:A386, A386, $C$2:C386, "Внутри сети")=1), 1, 0)</f>
        <v>1</v>
      </c>
      <c r="H386">
        <f>IF(AND(B386=6, COUNTIFS($A$2:A386, A386, $B$2:B386, 6)=1), 1, 0)</f>
        <v>0</v>
      </c>
      <c r="I386">
        <f>IF(AND(B386=2, COUNTIFS($A$2:A386, A386, $B$2:B386, 2)=1), 1, 0)</f>
        <v>0</v>
      </c>
    </row>
    <row r="387" spans="1:9">
      <c r="A387" s="22">
        <v>77010000185</v>
      </c>
      <c r="B387" s="22">
        <v>5</v>
      </c>
      <c r="C387" s="23" t="s">
        <v>0</v>
      </c>
      <c r="D387" s="22">
        <v>7.67</v>
      </c>
      <c r="E387" s="39">
        <v>18</v>
      </c>
      <c r="F387">
        <f>IF(COUNTIF($A$2:A387, A387)=1, 1, 0)</f>
        <v>1</v>
      </c>
      <c r="G387">
        <f>IF(AND(C387="Внутри сети", COUNTIFS($A$2:A387, A387, $C$2:C387, "Внутри сети")=1), 1, 0)</f>
        <v>1</v>
      </c>
      <c r="H387">
        <f>IF(AND(B387=6, COUNTIFS($A$2:A387, A387, $B$2:B387, 6)=1), 1, 0)</f>
        <v>0</v>
      </c>
      <c r="I387">
        <f>IF(AND(B387=2, COUNTIFS($A$2:A387, A387, $B$2:B387, 2)=1), 1, 0)</f>
        <v>0</v>
      </c>
    </row>
    <row r="388" spans="1:9">
      <c r="A388" s="22">
        <v>77010000188</v>
      </c>
      <c r="B388" s="22">
        <v>5</v>
      </c>
      <c r="C388" s="23" t="s">
        <v>0</v>
      </c>
      <c r="D388" s="22">
        <v>7.67</v>
      </c>
      <c r="E388" s="39">
        <v>18</v>
      </c>
      <c r="F388">
        <f>IF(COUNTIF($A$2:A388, A388)=1, 1, 0)</f>
        <v>0</v>
      </c>
      <c r="G388">
        <f>IF(AND(C388="Внутри сети", COUNTIFS($A$2:A388, A388, $C$2:C388, "Внутри сети")=1), 1, 0)</f>
        <v>0</v>
      </c>
      <c r="H388">
        <f>IF(AND(B388=6, COUNTIFS($A$2:A388, A388, $B$2:B388, 6)=1), 1, 0)</f>
        <v>0</v>
      </c>
      <c r="I388">
        <f>IF(AND(B388=2, COUNTIFS($A$2:A388, A388, $B$2:B388, 2)=1), 1, 0)</f>
        <v>0</v>
      </c>
    </row>
    <row r="389" spans="1:9">
      <c r="A389" s="22">
        <v>77010000213</v>
      </c>
      <c r="B389" s="22">
        <v>5</v>
      </c>
      <c r="C389" s="23" t="s">
        <v>1</v>
      </c>
      <c r="D389" s="22">
        <v>14.87</v>
      </c>
      <c r="E389" s="39">
        <v>18</v>
      </c>
      <c r="F389">
        <f>IF(COUNTIF($A$2:A389, A389)=1, 1, 0)</f>
        <v>1</v>
      </c>
      <c r="G389">
        <f>IF(AND(C389="Внутри сети", COUNTIFS($A$2:A389, A389, $C$2:C389, "Внутри сети")=1), 1, 0)</f>
        <v>0</v>
      </c>
      <c r="H389">
        <f>IF(AND(B389=6, COUNTIFS($A$2:A389, A389, $B$2:B389, 6)=1), 1, 0)</f>
        <v>0</v>
      </c>
      <c r="I389">
        <f>IF(AND(B389=2, COUNTIFS($A$2:A389, A389, $B$2:B389, 2)=1), 1, 0)</f>
        <v>0</v>
      </c>
    </row>
    <row r="390" spans="1:9">
      <c r="A390" s="22">
        <v>77010000230</v>
      </c>
      <c r="B390" s="22">
        <v>5</v>
      </c>
      <c r="C390" s="23" t="s">
        <v>0</v>
      </c>
      <c r="D390" s="22">
        <v>7.67</v>
      </c>
      <c r="E390" s="39">
        <v>18</v>
      </c>
      <c r="F390">
        <f>IF(COUNTIF($A$2:A390, A390)=1, 1, 0)</f>
        <v>1</v>
      </c>
      <c r="G390">
        <f>IF(AND(C390="Внутри сети", COUNTIFS($A$2:A390, A390, $C$2:C390, "Внутри сети")=1), 1, 0)</f>
        <v>1</v>
      </c>
      <c r="H390">
        <f>IF(AND(B390=6, COUNTIFS($A$2:A390, A390, $B$2:B390, 6)=1), 1, 0)</f>
        <v>0</v>
      </c>
      <c r="I390">
        <f>IF(AND(B390=2, COUNTIFS($A$2:A390, A390, $B$2:B390, 2)=1), 1, 0)</f>
        <v>0</v>
      </c>
    </row>
    <row r="391" spans="1:9">
      <c r="A391" s="22">
        <v>77010000217</v>
      </c>
      <c r="B391" s="22">
        <v>5</v>
      </c>
      <c r="C391" s="23" t="s">
        <v>0</v>
      </c>
      <c r="D391" s="22">
        <v>7.67</v>
      </c>
      <c r="E391" s="39">
        <v>18</v>
      </c>
      <c r="F391">
        <f>IF(COUNTIF($A$2:A391, A391)=1, 1, 0)</f>
        <v>1</v>
      </c>
      <c r="G391">
        <f>IF(AND(C391="Внутри сети", COUNTIFS($A$2:A391, A391, $C$2:C391, "Внутри сети")=1), 1, 0)</f>
        <v>1</v>
      </c>
      <c r="H391">
        <f>IF(AND(B391=6, COUNTIFS($A$2:A391, A391, $B$2:B391, 6)=1), 1, 0)</f>
        <v>0</v>
      </c>
      <c r="I391">
        <f>IF(AND(B391=2, COUNTIFS($A$2:A391, A391, $B$2:B391, 2)=1), 1, 0)</f>
        <v>0</v>
      </c>
    </row>
    <row r="392" spans="1:9">
      <c r="A392" s="22">
        <v>77010000206</v>
      </c>
      <c r="B392" s="22">
        <v>5</v>
      </c>
      <c r="C392" s="23" t="s">
        <v>0</v>
      </c>
      <c r="D392" s="22">
        <v>7.25</v>
      </c>
      <c r="E392" s="39">
        <v>17</v>
      </c>
      <c r="F392">
        <f>IF(COUNTIF($A$2:A392, A392)=1, 1, 0)</f>
        <v>1</v>
      </c>
      <c r="G392">
        <f>IF(AND(C392="Внутри сети", COUNTIFS($A$2:A392, A392, $C$2:C392, "Внутри сети")=1), 1, 0)</f>
        <v>1</v>
      </c>
      <c r="H392">
        <f>IF(AND(B392=6, COUNTIFS($A$2:A392, A392, $B$2:B392, 6)=1), 1, 0)</f>
        <v>0</v>
      </c>
      <c r="I392">
        <f>IF(AND(B392=2, COUNTIFS($A$2:A392, A392, $B$2:B392, 2)=1), 1, 0)</f>
        <v>0</v>
      </c>
    </row>
    <row r="393" spans="1:9">
      <c r="A393" s="22">
        <v>77010000236</v>
      </c>
      <c r="B393" s="22">
        <v>5</v>
      </c>
      <c r="C393" s="23" t="s">
        <v>0</v>
      </c>
      <c r="D393" s="22">
        <v>7.25</v>
      </c>
      <c r="E393" s="39">
        <v>17</v>
      </c>
      <c r="F393">
        <f>IF(COUNTIF($A$2:A393, A393)=1, 1, 0)</f>
        <v>1</v>
      </c>
      <c r="G393">
        <f>IF(AND(C393="Внутри сети", COUNTIFS($A$2:A393, A393, $C$2:C393, "Внутри сети")=1), 1, 0)</f>
        <v>1</v>
      </c>
      <c r="H393">
        <f>IF(AND(B393=6, COUNTIFS($A$2:A393, A393, $B$2:B393, 6)=1), 1, 0)</f>
        <v>0</v>
      </c>
      <c r="I393">
        <f>IF(AND(B393=2, COUNTIFS($A$2:A393, A393, $B$2:B393, 2)=1), 1, 0)</f>
        <v>0</v>
      </c>
    </row>
    <row r="394" spans="1:9">
      <c r="A394" s="22">
        <v>77010000177</v>
      </c>
      <c r="B394" s="22">
        <v>5</v>
      </c>
      <c r="C394" s="23" t="s">
        <v>0</v>
      </c>
      <c r="D394" s="22">
        <v>6.82</v>
      </c>
      <c r="E394" s="39">
        <v>16</v>
      </c>
      <c r="F394">
        <f>IF(COUNTIF($A$2:A394, A394)=1, 1, 0)</f>
        <v>1</v>
      </c>
      <c r="G394">
        <f>IF(AND(C394="Внутри сети", COUNTIFS($A$2:A394, A394, $C$2:C394, "Внутри сети")=1), 1, 0)</f>
        <v>1</v>
      </c>
      <c r="H394">
        <f>IF(AND(B394=6, COUNTIFS($A$2:A394, A394, $B$2:B394, 6)=1), 1, 0)</f>
        <v>0</v>
      </c>
      <c r="I394">
        <f>IF(AND(B394=2, COUNTIFS($A$2:A394, A394, $B$2:B394, 2)=1), 1, 0)</f>
        <v>0</v>
      </c>
    </row>
    <row r="395" spans="1:9">
      <c r="A395" s="22">
        <v>77010000179</v>
      </c>
      <c r="B395" s="22">
        <v>5</v>
      </c>
      <c r="C395" s="23" t="s">
        <v>0</v>
      </c>
      <c r="D395" s="22">
        <v>6.82</v>
      </c>
      <c r="E395" s="39">
        <v>16</v>
      </c>
      <c r="F395">
        <f>IF(COUNTIF($A$2:A395, A395)=1, 1, 0)</f>
        <v>0</v>
      </c>
      <c r="G395">
        <f>IF(AND(C395="Внутри сети", COUNTIFS($A$2:A395, A395, $C$2:C395, "Внутри сети")=1), 1, 0)</f>
        <v>0</v>
      </c>
      <c r="H395">
        <f>IF(AND(B395=6, COUNTIFS($A$2:A395, A395, $B$2:B395, 6)=1), 1, 0)</f>
        <v>0</v>
      </c>
      <c r="I395">
        <f>IF(AND(B395=2, COUNTIFS($A$2:A395, A395, $B$2:B395, 2)=1), 1, 0)</f>
        <v>0</v>
      </c>
    </row>
    <row r="396" spans="1:9">
      <c r="A396" s="22">
        <v>77010000207</v>
      </c>
      <c r="B396" s="22">
        <v>5</v>
      </c>
      <c r="C396" s="23" t="s">
        <v>0</v>
      </c>
      <c r="D396" s="22">
        <v>6.39</v>
      </c>
      <c r="E396" s="39">
        <v>15</v>
      </c>
      <c r="F396">
        <f>IF(COUNTIF($A$2:A396, A396)=1, 1, 0)</f>
        <v>1</v>
      </c>
      <c r="G396">
        <f>IF(AND(C396="Внутри сети", COUNTIFS($A$2:A396, A396, $C$2:C396, "Внутри сети")=1), 1, 0)</f>
        <v>1</v>
      </c>
      <c r="H396">
        <f>IF(AND(B396=6, COUNTIFS($A$2:A396, A396, $B$2:B396, 6)=1), 1, 0)</f>
        <v>0</v>
      </c>
      <c r="I396">
        <f>IF(AND(B396=2, COUNTIFS($A$2:A396, A396, $B$2:B396, 2)=1), 1, 0)</f>
        <v>0</v>
      </c>
    </row>
    <row r="397" spans="1:9">
      <c r="A397" s="22">
        <v>77010000202</v>
      </c>
      <c r="B397" s="22">
        <v>5</v>
      </c>
      <c r="C397" s="23" t="s">
        <v>0</v>
      </c>
      <c r="D397" s="22">
        <v>6.39</v>
      </c>
      <c r="E397" s="39">
        <v>15</v>
      </c>
      <c r="F397">
        <f>IF(COUNTIF($A$2:A397, A397)=1, 1, 0)</f>
        <v>1</v>
      </c>
      <c r="G397">
        <f>IF(AND(C397="Внутри сети", COUNTIFS($A$2:A397, A397, $C$2:C397, "Внутри сети")=1), 1, 0)</f>
        <v>1</v>
      </c>
      <c r="H397">
        <f>IF(AND(B397=6, COUNTIFS($A$2:A397, A397, $B$2:B397, 6)=1), 1, 0)</f>
        <v>0</v>
      </c>
      <c r="I397">
        <f>IF(AND(B397=2, COUNTIFS($A$2:A397, A397, $B$2:B397, 2)=1), 1, 0)</f>
        <v>0</v>
      </c>
    </row>
    <row r="398" spans="1:9">
      <c r="A398" s="22">
        <v>77010000194</v>
      </c>
      <c r="B398" s="22">
        <v>5</v>
      </c>
      <c r="C398" s="23" t="s">
        <v>0</v>
      </c>
      <c r="D398" s="22">
        <v>6.39</v>
      </c>
      <c r="E398" s="39">
        <v>15</v>
      </c>
      <c r="F398">
        <f>IF(COUNTIF($A$2:A398, A398)=1, 1, 0)</f>
        <v>0</v>
      </c>
      <c r="G398">
        <f>IF(AND(C398="Внутри сети", COUNTIFS($A$2:A398, A398, $C$2:C398, "Внутри сети")=1), 1, 0)</f>
        <v>0</v>
      </c>
      <c r="H398">
        <f>IF(AND(B398=6, COUNTIFS($A$2:A398, A398, $B$2:B398, 6)=1), 1, 0)</f>
        <v>0</v>
      </c>
      <c r="I398">
        <f>IF(AND(B398=2, COUNTIFS($A$2:A398, A398, $B$2:B398, 2)=1), 1, 0)</f>
        <v>0</v>
      </c>
    </row>
    <row r="399" spans="1:9">
      <c r="A399" s="22">
        <v>77010000178</v>
      </c>
      <c r="B399" s="22">
        <v>5</v>
      </c>
      <c r="C399" s="23" t="s">
        <v>0</v>
      </c>
      <c r="D399" s="22">
        <v>5.97</v>
      </c>
      <c r="E399" s="39">
        <v>14</v>
      </c>
      <c r="F399">
        <f>IF(COUNTIF($A$2:A399, A399)=1, 1, 0)</f>
        <v>1</v>
      </c>
      <c r="G399">
        <f>IF(AND(C399="Внутри сети", COUNTIFS($A$2:A399, A399, $C$2:C399, "Внутри сети")=1), 1, 0)</f>
        <v>1</v>
      </c>
      <c r="H399">
        <f>IF(AND(B399=6, COUNTIFS($A$2:A399, A399, $B$2:B399, 6)=1), 1, 0)</f>
        <v>0</v>
      </c>
      <c r="I399">
        <f>IF(AND(B399=2, COUNTIFS($A$2:A399, A399, $B$2:B399, 2)=1), 1, 0)</f>
        <v>0</v>
      </c>
    </row>
    <row r="400" spans="1:9">
      <c r="A400" s="22">
        <v>77010000201</v>
      </c>
      <c r="B400" s="22">
        <v>5</v>
      </c>
      <c r="C400" s="23" t="s">
        <v>0</v>
      </c>
      <c r="D400" s="22">
        <v>5.54</v>
      </c>
      <c r="E400" s="39">
        <v>13</v>
      </c>
      <c r="F400">
        <f>IF(COUNTIF($A$2:A400, A400)=1, 1, 0)</f>
        <v>1</v>
      </c>
      <c r="G400">
        <f>IF(AND(C400="Внутри сети", COUNTIFS($A$2:A400, A400, $C$2:C400, "Внутри сети")=1), 1, 0)</f>
        <v>1</v>
      </c>
      <c r="H400">
        <f>IF(AND(B400=6, COUNTIFS($A$2:A400, A400, $B$2:B400, 6)=1), 1, 0)</f>
        <v>0</v>
      </c>
      <c r="I400">
        <f>IF(AND(B400=2, COUNTIFS($A$2:A400, A400, $B$2:B400, 2)=1), 1, 0)</f>
        <v>0</v>
      </c>
    </row>
    <row r="401" spans="1:9">
      <c r="A401" s="22">
        <v>77010000208</v>
      </c>
      <c r="B401" s="22">
        <v>5</v>
      </c>
      <c r="C401" s="23" t="s">
        <v>0</v>
      </c>
      <c r="D401" s="22">
        <v>5.54</v>
      </c>
      <c r="E401" s="39">
        <v>13</v>
      </c>
      <c r="F401">
        <f>IF(COUNTIF($A$2:A401, A401)=1, 1, 0)</f>
        <v>0</v>
      </c>
      <c r="G401">
        <f>IF(AND(C401="Внутри сети", COUNTIFS($A$2:A401, A401, $C$2:C401, "Внутри сети")=1), 1, 0)</f>
        <v>1</v>
      </c>
      <c r="H401">
        <f>IF(AND(B401=6, COUNTIFS($A$2:A401, A401, $B$2:B401, 6)=1), 1, 0)</f>
        <v>0</v>
      </c>
      <c r="I401">
        <f>IF(AND(B401=2, COUNTIFS($A$2:A401, A401, $B$2:B401, 2)=1), 1, 0)</f>
        <v>0</v>
      </c>
    </row>
    <row r="402" spans="1:9">
      <c r="A402" s="22">
        <v>77010000209</v>
      </c>
      <c r="B402" s="22">
        <v>5</v>
      </c>
      <c r="C402" s="23" t="s">
        <v>0</v>
      </c>
      <c r="D402" s="22">
        <v>5.54</v>
      </c>
      <c r="E402" s="39">
        <v>13</v>
      </c>
      <c r="F402">
        <f>IF(COUNTIF($A$2:A402, A402)=1, 1, 0)</f>
        <v>1</v>
      </c>
      <c r="G402">
        <f>IF(AND(C402="Внутри сети", COUNTIFS($A$2:A402, A402, $C$2:C402, "Внутри сети")=1), 1, 0)</f>
        <v>1</v>
      </c>
      <c r="H402">
        <f>IF(AND(B402=6, COUNTIFS($A$2:A402, A402, $B$2:B402, 6)=1), 1, 0)</f>
        <v>0</v>
      </c>
      <c r="I402">
        <f>IF(AND(B402=2, COUNTIFS($A$2:A402, A402, $B$2:B402, 2)=1), 1, 0)</f>
        <v>0</v>
      </c>
    </row>
    <row r="403" spans="1:9">
      <c r="A403" s="22">
        <v>77010000226</v>
      </c>
      <c r="B403" s="22">
        <v>5</v>
      </c>
      <c r="C403" s="23" t="s">
        <v>0</v>
      </c>
      <c r="D403" s="22">
        <v>5.54</v>
      </c>
      <c r="E403" s="39">
        <v>13</v>
      </c>
      <c r="F403">
        <f>IF(COUNTIF($A$2:A403, A403)=1, 1, 0)</f>
        <v>1</v>
      </c>
      <c r="G403">
        <f>IF(AND(C403="Внутри сети", COUNTIFS($A$2:A403, A403, $C$2:C403, "Внутри сети")=1), 1, 0)</f>
        <v>1</v>
      </c>
      <c r="H403">
        <f>IF(AND(B403=6, COUNTIFS($A$2:A403, A403, $B$2:B403, 6)=1), 1, 0)</f>
        <v>0</v>
      </c>
      <c r="I403">
        <f>IF(AND(B403=2, COUNTIFS($A$2:A403, A403, $B$2:B403, 2)=1), 1, 0)</f>
        <v>0</v>
      </c>
    </row>
    <row r="404" spans="1:9">
      <c r="A404" s="22">
        <v>77010000228</v>
      </c>
      <c r="B404" s="22">
        <v>5</v>
      </c>
      <c r="C404" s="23" t="s">
        <v>0</v>
      </c>
      <c r="D404" s="22">
        <v>5.54</v>
      </c>
      <c r="E404" s="39">
        <v>13</v>
      </c>
      <c r="F404">
        <f>IF(COUNTIF($A$2:A404, A404)=1, 1, 0)</f>
        <v>1</v>
      </c>
      <c r="G404">
        <f>IF(AND(C404="Внутри сети", COUNTIFS($A$2:A404, A404, $C$2:C404, "Внутри сети")=1), 1, 0)</f>
        <v>1</v>
      </c>
      <c r="H404">
        <f>IF(AND(B404=6, COUNTIFS($A$2:A404, A404, $B$2:B404, 6)=1), 1, 0)</f>
        <v>0</v>
      </c>
      <c r="I404">
        <f>IF(AND(B404=2, COUNTIFS($A$2:A404, A404, $B$2:B404, 2)=1), 1, 0)</f>
        <v>0</v>
      </c>
    </row>
    <row r="405" spans="1:9">
      <c r="A405" s="22">
        <v>77010000210</v>
      </c>
      <c r="B405" s="22">
        <v>5</v>
      </c>
      <c r="C405" s="23" t="s">
        <v>0</v>
      </c>
      <c r="D405" s="22">
        <v>5.54</v>
      </c>
      <c r="E405" s="39">
        <v>13</v>
      </c>
      <c r="F405">
        <f>IF(COUNTIF($A$2:A405, A405)=1, 1, 0)</f>
        <v>1</v>
      </c>
      <c r="G405">
        <f>IF(AND(C405="Внутри сети", COUNTIFS($A$2:A405, A405, $C$2:C405, "Внутри сети")=1), 1, 0)</f>
        <v>1</v>
      </c>
      <c r="H405">
        <f>IF(AND(B405=6, COUNTIFS($A$2:A405, A405, $B$2:B405, 6)=1), 1, 0)</f>
        <v>0</v>
      </c>
      <c r="I405">
        <f>IF(AND(B405=2, COUNTIFS($A$2:A405, A405, $B$2:B405, 2)=1), 1, 0)</f>
        <v>0</v>
      </c>
    </row>
    <row r="406" spans="1:9">
      <c r="A406" s="22">
        <v>77010000213</v>
      </c>
      <c r="B406" s="22">
        <v>5</v>
      </c>
      <c r="C406" s="23" t="s">
        <v>0</v>
      </c>
      <c r="D406" s="22">
        <v>5.54</v>
      </c>
      <c r="E406" s="39">
        <v>13</v>
      </c>
      <c r="F406">
        <f>IF(COUNTIF($A$2:A406, A406)=1, 1, 0)</f>
        <v>0</v>
      </c>
      <c r="G406">
        <f>IF(AND(C406="Внутри сети", COUNTIFS($A$2:A406, A406, $C$2:C406, "Внутри сети")=1), 1, 0)</f>
        <v>1</v>
      </c>
      <c r="H406">
        <f>IF(AND(B406=6, COUNTIFS($A$2:A406, A406, $B$2:B406, 6)=1), 1, 0)</f>
        <v>0</v>
      </c>
      <c r="I406">
        <f>IF(AND(B406=2, COUNTIFS($A$2:A406, A406, $B$2:B406, 2)=1), 1, 0)</f>
        <v>0</v>
      </c>
    </row>
    <row r="407" spans="1:9">
      <c r="A407" s="22">
        <v>77010000236</v>
      </c>
      <c r="B407" s="22">
        <v>5</v>
      </c>
      <c r="C407" s="23" t="s">
        <v>0</v>
      </c>
      <c r="D407" s="22">
        <v>5.54</v>
      </c>
      <c r="E407" s="39">
        <v>13</v>
      </c>
      <c r="F407">
        <f>IF(COUNTIF($A$2:A407, A407)=1, 1, 0)</f>
        <v>0</v>
      </c>
      <c r="G407">
        <f>IF(AND(C407="Внутри сети", COUNTIFS($A$2:A407, A407, $C$2:C407, "Внутри сети")=1), 1, 0)</f>
        <v>0</v>
      </c>
      <c r="H407">
        <f>IF(AND(B407=6, COUNTIFS($A$2:A407, A407, $B$2:B407, 6)=1), 1, 0)</f>
        <v>0</v>
      </c>
      <c r="I407">
        <f>IF(AND(B407=2, COUNTIFS($A$2:A407, A407, $B$2:B407, 2)=1), 1, 0)</f>
        <v>0</v>
      </c>
    </row>
    <row r="408" spans="1:9">
      <c r="A408" s="22">
        <v>77010000179</v>
      </c>
      <c r="B408" s="22">
        <v>5</v>
      </c>
      <c r="C408" s="23" t="s">
        <v>0</v>
      </c>
      <c r="D408" s="22">
        <v>5.1100000000000003</v>
      </c>
      <c r="E408" s="39">
        <v>12</v>
      </c>
      <c r="F408">
        <f>IF(COUNTIF($A$2:A408, A408)=1, 1, 0)</f>
        <v>0</v>
      </c>
      <c r="G408">
        <f>IF(AND(C408="Внутри сети", COUNTIFS($A$2:A408, A408, $C$2:C408, "Внутри сети")=1), 1, 0)</f>
        <v>0</v>
      </c>
      <c r="H408">
        <f>IF(AND(B408=6, COUNTIFS($A$2:A408, A408, $B$2:B408, 6)=1), 1, 0)</f>
        <v>0</v>
      </c>
      <c r="I408">
        <f>IF(AND(B408=2, COUNTIFS($A$2:A408, A408, $B$2:B408, 2)=1), 1, 0)</f>
        <v>0</v>
      </c>
    </row>
    <row r="409" spans="1:9">
      <c r="A409" s="22">
        <v>77010000194</v>
      </c>
      <c r="B409" s="22">
        <v>5</v>
      </c>
      <c r="C409" s="23" t="s">
        <v>0</v>
      </c>
      <c r="D409" s="22">
        <v>5.1100000000000003</v>
      </c>
      <c r="E409" s="39">
        <v>12</v>
      </c>
      <c r="F409">
        <f>IF(COUNTIF($A$2:A409, A409)=1, 1, 0)</f>
        <v>0</v>
      </c>
      <c r="G409">
        <f>IF(AND(C409="Внутри сети", COUNTIFS($A$2:A409, A409, $C$2:C409, "Внутри сети")=1), 1, 0)</f>
        <v>0</v>
      </c>
      <c r="H409">
        <f>IF(AND(B409=6, COUNTIFS($A$2:A409, A409, $B$2:B409, 6)=1), 1, 0)</f>
        <v>0</v>
      </c>
      <c r="I409">
        <f>IF(AND(B409=2, COUNTIFS($A$2:A409, A409, $B$2:B409, 2)=1), 1, 0)</f>
        <v>0</v>
      </c>
    </row>
    <row r="410" spans="1:9">
      <c r="A410" s="22">
        <v>77010000206</v>
      </c>
      <c r="B410" s="22">
        <v>5</v>
      </c>
      <c r="C410" s="23" t="s">
        <v>0</v>
      </c>
      <c r="D410" s="22">
        <v>5.1100000000000003</v>
      </c>
      <c r="E410" s="39">
        <v>12</v>
      </c>
      <c r="F410">
        <f>IF(COUNTIF($A$2:A410, A410)=1, 1, 0)</f>
        <v>0</v>
      </c>
      <c r="G410">
        <f>IF(AND(C410="Внутри сети", COUNTIFS($A$2:A410, A410, $C$2:C410, "Внутри сети")=1), 1, 0)</f>
        <v>0</v>
      </c>
      <c r="H410">
        <f>IF(AND(B410=6, COUNTIFS($A$2:A410, A410, $B$2:B410, 6)=1), 1, 0)</f>
        <v>0</v>
      </c>
      <c r="I410">
        <f>IF(AND(B410=2, COUNTIFS($A$2:A410, A410, $B$2:B410, 2)=1), 1, 0)</f>
        <v>0</v>
      </c>
    </row>
    <row r="411" spans="1:9">
      <c r="A411" s="22">
        <v>77010000182</v>
      </c>
      <c r="B411" s="22">
        <v>5</v>
      </c>
      <c r="C411" s="23" t="s">
        <v>0</v>
      </c>
      <c r="D411" s="22">
        <v>5.1100000000000003</v>
      </c>
      <c r="E411" s="39">
        <v>12</v>
      </c>
      <c r="F411">
        <f>IF(COUNTIF($A$2:A411, A411)=1, 1, 0)</f>
        <v>1</v>
      </c>
      <c r="G411">
        <f>IF(AND(C411="Внутри сети", COUNTIFS($A$2:A411, A411, $C$2:C411, "Внутри сети")=1), 1, 0)</f>
        <v>1</v>
      </c>
      <c r="H411">
        <f>IF(AND(B411=6, COUNTIFS($A$2:A411, A411, $B$2:B411, 6)=1), 1, 0)</f>
        <v>0</v>
      </c>
      <c r="I411">
        <f>IF(AND(B411=2, COUNTIFS($A$2:A411, A411, $B$2:B411, 2)=1), 1, 0)</f>
        <v>0</v>
      </c>
    </row>
    <row r="412" spans="1:9">
      <c r="A412" s="22">
        <v>77010000184</v>
      </c>
      <c r="B412" s="22">
        <v>5</v>
      </c>
      <c r="C412" s="23" t="s">
        <v>0</v>
      </c>
      <c r="D412" s="22">
        <v>5.1100000000000003</v>
      </c>
      <c r="E412" s="39">
        <v>12</v>
      </c>
      <c r="F412">
        <f>IF(COUNTIF($A$2:A412, A412)=1, 1, 0)</f>
        <v>1</v>
      </c>
      <c r="G412">
        <f>IF(AND(C412="Внутри сети", COUNTIFS($A$2:A412, A412, $C$2:C412, "Внутри сети")=1), 1, 0)</f>
        <v>1</v>
      </c>
      <c r="H412">
        <f>IF(AND(B412=6, COUNTIFS($A$2:A412, A412, $B$2:B412, 6)=1), 1, 0)</f>
        <v>0</v>
      </c>
      <c r="I412">
        <f>IF(AND(B412=2, COUNTIFS($A$2:A412, A412, $B$2:B412, 2)=1), 1, 0)</f>
        <v>0</v>
      </c>
    </row>
    <row r="413" spans="1:9">
      <c r="A413" s="22">
        <v>77010000228</v>
      </c>
      <c r="B413" s="22">
        <v>5</v>
      </c>
      <c r="C413" s="23" t="s">
        <v>0</v>
      </c>
      <c r="D413" s="22">
        <v>5.1100000000000003</v>
      </c>
      <c r="E413" s="39">
        <v>12</v>
      </c>
      <c r="F413">
        <f>IF(COUNTIF($A$2:A413, A413)=1, 1, 0)</f>
        <v>0</v>
      </c>
      <c r="G413">
        <f>IF(AND(C413="Внутри сети", COUNTIFS($A$2:A413, A413, $C$2:C413, "Внутри сети")=1), 1, 0)</f>
        <v>0</v>
      </c>
      <c r="H413">
        <f>IF(AND(B413=6, COUNTIFS($A$2:A413, A413, $B$2:B413, 6)=1), 1, 0)</f>
        <v>0</v>
      </c>
      <c r="I413">
        <f>IF(AND(B413=2, COUNTIFS($A$2:A413, A413, $B$2:B413, 2)=1), 1, 0)</f>
        <v>0</v>
      </c>
    </row>
    <row r="414" spans="1:9">
      <c r="A414" s="22">
        <v>77010000197</v>
      </c>
      <c r="B414" s="22">
        <v>5</v>
      </c>
      <c r="C414" s="23" t="s">
        <v>0</v>
      </c>
      <c r="D414" s="22">
        <v>4.6900000000000004</v>
      </c>
      <c r="E414" s="39">
        <v>11</v>
      </c>
      <c r="F414">
        <f>IF(COUNTIF($A$2:A414, A414)=1, 1, 0)</f>
        <v>1</v>
      </c>
      <c r="G414">
        <f>IF(AND(C414="Внутри сети", COUNTIFS($A$2:A414, A414, $C$2:C414, "Внутри сети")=1), 1, 0)</f>
        <v>1</v>
      </c>
      <c r="H414">
        <f>IF(AND(B414=6, COUNTIFS($A$2:A414, A414, $B$2:B414, 6)=1), 1, 0)</f>
        <v>0</v>
      </c>
      <c r="I414">
        <f>IF(AND(B414=2, COUNTIFS($A$2:A414, A414, $B$2:B414, 2)=1), 1, 0)</f>
        <v>0</v>
      </c>
    </row>
    <row r="415" spans="1:9">
      <c r="A415" s="22">
        <v>77010000172</v>
      </c>
      <c r="B415" s="22">
        <v>5</v>
      </c>
      <c r="C415" s="23" t="s">
        <v>2</v>
      </c>
      <c r="D415" s="22">
        <v>14.87</v>
      </c>
      <c r="E415" s="39">
        <v>11</v>
      </c>
      <c r="F415">
        <f>IF(COUNTIF($A$2:A415, A415)=1, 1, 0)</f>
        <v>1</v>
      </c>
      <c r="G415">
        <f>IF(AND(C415="Внутри сети", COUNTIFS($A$2:A415, A415, $C$2:C415, "Внутри сети")=1), 1, 0)</f>
        <v>0</v>
      </c>
      <c r="H415">
        <f>IF(AND(B415=6, COUNTIFS($A$2:A415, A415, $B$2:B415, 6)=1), 1, 0)</f>
        <v>0</v>
      </c>
      <c r="I415">
        <f>IF(AND(B415=2, COUNTIFS($A$2:A415, A415, $B$2:B415, 2)=1), 1, 0)</f>
        <v>0</v>
      </c>
    </row>
    <row r="416" spans="1:9">
      <c r="A416" s="22">
        <v>77010000207</v>
      </c>
      <c r="B416" s="22">
        <v>5</v>
      </c>
      <c r="C416" s="23" t="s">
        <v>0</v>
      </c>
      <c r="D416" s="22">
        <v>4.6900000000000004</v>
      </c>
      <c r="E416" s="39">
        <v>11</v>
      </c>
      <c r="F416">
        <f>IF(COUNTIF($A$2:A416, A416)=1, 1, 0)</f>
        <v>0</v>
      </c>
      <c r="G416">
        <f>IF(AND(C416="Внутри сети", COUNTIFS($A$2:A416, A416, $C$2:C416, "Внутри сети")=1), 1, 0)</f>
        <v>0</v>
      </c>
      <c r="H416">
        <f>IF(AND(B416=6, COUNTIFS($A$2:A416, A416, $B$2:B416, 6)=1), 1, 0)</f>
        <v>0</v>
      </c>
      <c r="I416">
        <f>IF(AND(B416=2, COUNTIFS($A$2:A416, A416, $B$2:B416, 2)=1), 1, 0)</f>
        <v>0</v>
      </c>
    </row>
    <row r="417" spans="1:9">
      <c r="A417" s="22">
        <v>77010000178</v>
      </c>
      <c r="B417" s="22">
        <v>5</v>
      </c>
      <c r="C417" s="23" t="s">
        <v>0</v>
      </c>
      <c r="D417" s="22">
        <v>4.6900000000000004</v>
      </c>
      <c r="E417" s="39">
        <v>11</v>
      </c>
      <c r="F417">
        <f>IF(COUNTIF($A$2:A417, A417)=1, 1, 0)</f>
        <v>0</v>
      </c>
      <c r="G417">
        <f>IF(AND(C417="Внутри сети", COUNTIFS($A$2:A417, A417, $C$2:C417, "Внутри сети")=1), 1, 0)</f>
        <v>0</v>
      </c>
      <c r="H417">
        <f>IF(AND(B417=6, COUNTIFS($A$2:A417, A417, $B$2:B417, 6)=1), 1, 0)</f>
        <v>0</v>
      </c>
      <c r="I417">
        <f>IF(AND(B417=2, COUNTIFS($A$2:A417, A417, $B$2:B417, 2)=1), 1, 0)</f>
        <v>0</v>
      </c>
    </row>
    <row r="418" spans="1:9">
      <c r="A418" s="22">
        <v>77010000207</v>
      </c>
      <c r="B418" s="22">
        <v>5</v>
      </c>
      <c r="C418" s="23" t="s">
        <v>0</v>
      </c>
      <c r="D418" s="22">
        <v>4.6900000000000004</v>
      </c>
      <c r="E418" s="39">
        <v>11</v>
      </c>
      <c r="F418">
        <f>IF(COUNTIF($A$2:A418, A418)=1, 1, 0)</f>
        <v>0</v>
      </c>
      <c r="G418">
        <f>IF(AND(C418="Внутри сети", COUNTIFS($A$2:A418, A418, $C$2:C418, "Внутри сети")=1), 1, 0)</f>
        <v>0</v>
      </c>
      <c r="H418">
        <f>IF(AND(B418=6, COUNTIFS($A$2:A418, A418, $B$2:B418, 6)=1), 1, 0)</f>
        <v>0</v>
      </c>
      <c r="I418">
        <f>IF(AND(B418=2, COUNTIFS($A$2:A418, A418, $B$2:B418, 2)=1), 1, 0)</f>
        <v>0</v>
      </c>
    </row>
    <row r="419" spans="1:9">
      <c r="A419" s="22">
        <v>77010000212</v>
      </c>
      <c r="B419" s="22">
        <v>5</v>
      </c>
      <c r="C419" s="23" t="s">
        <v>0</v>
      </c>
      <c r="D419" s="22">
        <v>4.6900000000000004</v>
      </c>
      <c r="E419" s="39">
        <v>11</v>
      </c>
      <c r="F419">
        <f>IF(COUNTIF($A$2:A419, A419)=1, 1, 0)</f>
        <v>1</v>
      </c>
      <c r="G419">
        <f>IF(AND(C419="Внутри сети", COUNTIFS($A$2:A419, A419, $C$2:C419, "Внутри сети")=1), 1, 0)</f>
        <v>1</v>
      </c>
      <c r="H419">
        <f>IF(AND(B419=6, COUNTIFS($A$2:A419, A419, $B$2:B419, 6)=1), 1, 0)</f>
        <v>0</v>
      </c>
      <c r="I419">
        <f>IF(AND(B419=2, COUNTIFS($A$2:A419, A419, $B$2:B419, 2)=1), 1, 0)</f>
        <v>0</v>
      </c>
    </row>
    <row r="420" spans="1:9">
      <c r="A420" s="22">
        <v>77010000192</v>
      </c>
      <c r="B420" s="22">
        <v>5</v>
      </c>
      <c r="C420" s="23" t="s">
        <v>0</v>
      </c>
      <c r="D420" s="22">
        <v>4.26</v>
      </c>
      <c r="E420" s="39">
        <v>10</v>
      </c>
      <c r="F420">
        <f>IF(COUNTIF($A$2:A420, A420)=1, 1, 0)</f>
        <v>1</v>
      </c>
      <c r="G420">
        <f>IF(AND(C420="Внутри сети", COUNTIFS($A$2:A420, A420, $C$2:C420, "Внутри сети")=1), 1, 0)</f>
        <v>1</v>
      </c>
      <c r="H420">
        <f>IF(AND(B420=6, COUNTIFS($A$2:A420, A420, $B$2:B420, 6)=1), 1, 0)</f>
        <v>0</v>
      </c>
      <c r="I420">
        <f>IF(AND(B420=2, COUNTIFS($A$2:A420, A420, $B$2:B420, 2)=1), 1, 0)</f>
        <v>0</v>
      </c>
    </row>
    <row r="421" spans="1:9">
      <c r="A421" s="22">
        <v>77010000202</v>
      </c>
      <c r="B421" s="22">
        <v>5</v>
      </c>
      <c r="C421" s="23" t="s">
        <v>0</v>
      </c>
      <c r="D421" s="22">
        <v>4.26</v>
      </c>
      <c r="E421" s="39">
        <v>10</v>
      </c>
      <c r="F421">
        <f>IF(COUNTIF($A$2:A421, A421)=1, 1, 0)</f>
        <v>0</v>
      </c>
      <c r="G421">
        <f>IF(AND(C421="Внутри сети", COUNTIFS($A$2:A421, A421, $C$2:C421, "Внутри сети")=1), 1, 0)</f>
        <v>0</v>
      </c>
      <c r="H421">
        <f>IF(AND(B421=6, COUNTIFS($A$2:A421, A421, $B$2:B421, 6)=1), 1, 0)</f>
        <v>0</v>
      </c>
      <c r="I421">
        <f>IF(AND(B421=2, COUNTIFS($A$2:A421, A421, $B$2:B421, 2)=1), 1, 0)</f>
        <v>0</v>
      </c>
    </row>
    <row r="422" spans="1:9">
      <c r="A422" s="22">
        <v>77010000204</v>
      </c>
      <c r="B422" s="22">
        <v>5</v>
      </c>
      <c r="C422" s="23" t="s">
        <v>0</v>
      </c>
      <c r="D422" s="22">
        <v>4.26</v>
      </c>
      <c r="E422" s="39">
        <v>10</v>
      </c>
      <c r="F422">
        <f>IF(COUNTIF($A$2:A422, A422)=1, 1, 0)</f>
        <v>0</v>
      </c>
      <c r="G422">
        <f>IF(AND(C422="Внутри сети", COUNTIFS($A$2:A422, A422, $C$2:C422, "Внутри сети")=1), 1, 0)</f>
        <v>0</v>
      </c>
      <c r="H422">
        <f>IF(AND(B422=6, COUNTIFS($A$2:A422, A422, $B$2:B422, 6)=1), 1, 0)</f>
        <v>0</v>
      </c>
      <c r="I422">
        <f>IF(AND(B422=2, COUNTIFS($A$2:A422, A422, $B$2:B422, 2)=1), 1, 0)</f>
        <v>0</v>
      </c>
    </row>
    <row r="423" spans="1:9">
      <c r="A423" s="22">
        <v>77010000176</v>
      </c>
      <c r="B423" s="22">
        <v>5</v>
      </c>
      <c r="C423" s="23" t="s">
        <v>0</v>
      </c>
      <c r="D423" s="22">
        <v>4.26</v>
      </c>
      <c r="E423" s="39">
        <v>10</v>
      </c>
      <c r="F423">
        <f>IF(COUNTIF($A$2:A423, A423)=1, 1, 0)</f>
        <v>0</v>
      </c>
      <c r="G423">
        <f>IF(AND(C423="Внутри сети", COUNTIFS($A$2:A423, A423, $C$2:C423, "Внутри сети")=1), 1, 0)</f>
        <v>0</v>
      </c>
      <c r="H423">
        <f>IF(AND(B423=6, COUNTIFS($A$2:A423, A423, $B$2:B423, 6)=1), 1, 0)</f>
        <v>0</v>
      </c>
      <c r="I423">
        <f>IF(AND(B423=2, COUNTIFS($A$2:A423, A423, $B$2:B423, 2)=1), 1, 0)</f>
        <v>0</v>
      </c>
    </row>
    <row r="424" spans="1:9">
      <c r="A424" s="22">
        <v>77010000187</v>
      </c>
      <c r="B424" s="22">
        <v>5</v>
      </c>
      <c r="C424" s="23" t="s">
        <v>0</v>
      </c>
      <c r="D424" s="22">
        <v>4.26</v>
      </c>
      <c r="E424" s="39">
        <v>10</v>
      </c>
      <c r="F424">
        <f>IF(COUNTIF($A$2:A424, A424)=1, 1, 0)</f>
        <v>1</v>
      </c>
      <c r="G424">
        <f>IF(AND(C424="Внутри сети", COUNTIFS($A$2:A424, A424, $C$2:C424, "Внутри сети")=1), 1, 0)</f>
        <v>1</v>
      </c>
      <c r="H424">
        <f>IF(AND(B424=6, COUNTIFS($A$2:A424, A424, $B$2:B424, 6)=1), 1, 0)</f>
        <v>0</v>
      </c>
      <c r="I424">
        <f>IF(AND(B424=2, COUNTIFS($A$2:A424, A424, $B$2:B424, 2)=1), 1, 0)</f>
        <v>0</v>
      </c>
    </row>
    <row r="425" spans="1:9">
      <c r="A425" s="22">
        <v>77010000203</v>
      </c>
      <c r="B425" s="22">
        <v>5</v>
      </c>
      <c r="C425" s="23" t="s">
        <v>0</v>
      </c>
      <c r="D425" s="22">
        <v>4.26</v>
      </c>
      <c r="E425" s="39">
        <v>10</v>
      </c>
      <c r="F425">
        <f>IF(COUNTIF($A$2:A425, A425)=1, 1, 0)</f>
        <v>1</v>
      </c>
      <c r="G425">
        <f>IF(AND(C425="Внутри сети", COUNTIFS($A$2:A425, A425, $C$2:C425, "Внутри сети")=1), 1, 0)</f>
        <v>1</v>
      </c>
      <c r="H425">
        <f>IF(AND(B425=6, COUNTIFS($A$2:A425, A425, $B$2:B425, 6)=1), 1, 0)</f>
        <v>0</v>
      </c>
      <c r="I425">
        <f>IF(AND(B425=2, COUNTIFS($A$2:A425, A425, $B$2:B425, 2)=1), 1, 0)</f>
        <v>0</v>
      </c>
    </row>
    <row r="426" spans="1:9">
      <c r="A426" s="22">
        <v>77010000231</v>
      </c>
      <c r="B426" s="22">
        <v>5</v>
      </c>
      <c r="C426" s="23" t="s">
        <v>0</v>
      </c>
      <c r="D426" s="22">
        <v>4.26</v>
      </c>
      <c r="E426" s="39">
        <v>10</v>
      </c>
      <c r="F426">
        <f>IF(COUNTIF($A$2:A426, A426)=1, 1, 0)</f>
        <v>1</v>
      </c>
      <c r="G426">
        <f>IF(AND(C426="Внутри сети", COUNTIFS($A$2:A426, A426, $C$2:C426, "Внутри сети")=1), 1, 0)</f>
        <v>1</v>
      </c>
      <c r="H426">
        <f>IF(AND(B426=6, COUNTIFS($A$2:A426, A426, $B$2:B426, 6)=1), 1, 0)</f>
        <v>0</v>
      </c>
      <c r="I426">
        <f>IF(AND(B426=2, COUNTIFS($A$2:A426, A426, $B$2:B426, 2)=1), 1, 0)</f>
        <v>0</v>
      </c>
    </row>
    <row r="427" spans="1:9">
      <c r="A427" s="22">
        <v>77010000234</v>
      </c>
      <c r="B427" s="22">
        <v>5</v>
      </c>
      <c r="C427" s="23" t="s">
        <v>0</v>
      </c>
      <c r="D427" s="22">
        <v>4.26</v>
      </c>
      <c r="E427" s="39">
        <v>10</v>
      </c>
      <c r="F427">
        <f>IF(COUNTIF($A$2:A427, A427)=1, 1, 0)</f>
        <v>0</v>
      </c>
      <c r="G427">
        <f>IF(AND(C427="Внутри сети", COUNTIFS($A$2:A427, A427, $C$2:C427, "Внутри сети")=1), 1, 0)</f>
        <v>0</v>
      </c>
      <c r="H427">
        <f>IF(AND(B427=6, COUNTIFS($A$2:A427, A427, $B$2:B427, 6)=1), 1, 0)</f>
        <v>0</v>
      </c>
      <c r="I427">
        <f>IF(AND(B427=2, COUNTIFS($A$2:A427, A427, $B$2:B427, 2)=1), 1, 0)</f>
        <v>0</v>
      </c>
    </row>
    <row r="428" spans="1:9">
      <c r="A428" s="22">
        <v>77010000181</v>
      </c>
      <c r="B428" s="22">
        <v>5</v>
      </c>
      <c r="C428" s="23" t="s">
        <v>0</v>
      </c>
      <c r="D428" s="22">
        <v>3.84</v>
      </c>
      <c r="E428" s="39">
        <v>9</v>
      </c>
      <c r="F428">
        <f>IF(COUNTIF($A$2:A428, A428)=1, 1, 0)</f>
        <v>0</v>
      </c>
      <c r="G428">
        <f>IF(AND(C428="Внутри сети", COUNTIFS($A$2:A428, A428, $C$2:C428, "Внутри сети")=1), 1, 0)</f>
        <v>0</v>
      </c>
      <c r="H428">
        <f>IF(AND(B428=6, COUNTIFS($A$2:A428, A428, $B$2:B428, 6)=1), 1, 0)</f>
        <v>0</v>
      </c>
      <c r="I428">
        <f>IF(AND(B428=2, COUNTIFS($A$2:A428, A428, $B$2:B428, 2)=1), 1, 0)</f>
        <v>0</v>
      </c>
    </row>
    <row r="429" spans="1:9">
      <c r="A429" s="22">
        <v>77010000184</v>
      </c>
      <c r="B429" s="22">
        <v>5</v>
      </c>
      <c r="C429" s="23" t="s">
        <v>0</v>
      </c>
      <c r="D429" s="22">
        <v>3.84</v>
      </c>
      <c r="E429" s="39">
        <v>9</v>
      </c>
      <c r="F429">
        <f>IF(COUNTIF($A$2:A429, A429)=1, 1, 0)</f>
        <v>0</v>
      </c>
      <c r="G429">
        <f>IF(AND(C429="Внутри сети", COUNTIFS($A$2:A429, A429, $C$2:C429, "Внутри сети")=1), 1, 0)</f>
        <v>0</v>
      </c>
      <c r="H429">
        <f>IF(AND(B429=6, COUNTIFS($A$2:A429, A429, $B$2:B429, 6)=1), 1, 0)</f>
        <v>0</v>
      </c>
      <c r="I429">
        <f>IF(AND(B429=2, COUNTIFS($A$2:A429, A429, $B$2:B429, 2)=1), 1, 0)</f>
        <v>0</v>
      </c>
    </row>
    <row r="430" spans="1:9">
      <c r="A430" s="22">
        <v>77010000203</v>
      </c>
      <c r="B430" s="22">
        <v>5</v>
      </c>
      <c r="C430" s="23" t="s">
        <v>0</v>
      </c>
      <c r="D430" s="22">
        <v>3.84</v>
      </c>
      <c r="E430" s="39">
        <v>9</v>
      </c>
      <c r="F430">
        <f>IF(COUNTIF($A$2:A430, A430)=1, 1, 0)</f>
        <v>0</v>
      </c>
      <c r="G430">
        <f>IF(AND(C430="Внутри сети", COUNTIFS($A$2:A430, A430, $C$2:C430, "Внутри сети")=1), 1, 0)</f>
        <v>0</v>
      </c>
      <c r="H430">
        <f>IF(AND(B430=6, COUNTIFS($A$2:A430, A430, $B$2:B430, 6)=1), 1, 0)</f>
        <v>0</v>
      </c>
      <c r="I430">
        <f>IF(AND(B430=2, COUNTIFS($A$2:A430, A430, $B$2:B430, 2)=1), 1, 0)</f>
        <v>0</v>
      </c>
    </row>
    <row r="431" spans="1:9">
      <c r="A431" s="22">
        <v>77010000203</v>
      </c>
      <c r="B431" s="22">
        <v>5</v>
      </c>
      <c r="C431" s="23" t="s">
        <v>0</v>
      </c>
      <c r="D431" s="22">
        <v>3.84</v>
      </c>
      <c r="E431" s="39">
        <v>9</v>
      </c>
      <c r="F431">
        <f>IF(COUNTIF($A$2:A431, A431)=1, 1, 0)</f>
        <v>0</v>
      </c>
      <c r="G431">
        <f>IF(AND(C431="Внутри сети", COUNTIFS($A$2:A431, A431, $C$2:C431, "Внутри сети")=1), 1, 0)</f>
        <v>0</v>
      </c>
      <c r="H431">
        <f>IF(AND(B431=6, COUNTIFS($A$2:A431, A431, $B$2:B431, 6)=1), 1, 0)</f>
        <v>0</v>
      </c>
      <c r="I431">
        <f>IF(AND(B431=2, COUNTIFS($A$2:A431, A431, $B$2:B431, 2)=1), 1, 0)</f>
        <v>0</v>
      </c>
    </row>
    <row r="432" spans="1:9">
      <c r="A432" s="22">
        <v>77010000189</v>
      </c>
      <c r="B432" s="22">
        <v>5</v>
      </c>
      <c r="C432" s="23" t="s">
        <v>0</v>
      </c>
      <c r="D432" s="22">
        <v>3.84</v>
      </c>
      <c r="E432" s="39">
        <v>9</v>
      </c>
      <c r="F432">
        <f>IF(COUNTIF($A$2:A432, A432)=1, 1, 0)</f>
        <v>1</v>
      </c>
      <c r="G432">
        <f>IF(AND(C432="Внутри сети", COUNTIFS($A$2:A432, A432, $C$2:C432, "Внутри сети")=1), 1, 0)</f>
        <v>1</v>
      </c>
      <c r="H432">
        <f>IF(AND(B432=6, COUNTIFS($A$2:A432, A432, $B$2:B432, 6)=1), 1, 0)</f>
        <v>0</v>
      </c>
      <c r="I432">
        <f>IF(AND(B432=2, COUNTIFS($A$2:A432, A432, $B$2:B432, 2)=1), 1, 0)</f>
        <v>0</v>
      </c>
    </row>
    <row r="433" spans="1:9">
      <c r="A433" s="22">
        <v>77010000210</v>
      </c>
      <c r="B433" s="22">
        <v>5</v>
      </c>
      <c r="C433" s="23" t="s">
        <v>1</v>
      </c>
      <c r="D433" s="22">
        <v>7.43</v>
      </c>
      <c r="E433" s="39">
        <v>9</v>
      </c>
      <c r="F433">
        <f>IF(COUNTIF($A$2:A433, A433)=1, 1, 0)</f>
        <v>0</v>
      </c>
      <c r="G433">
        <f>IF(AND(C433="Внутри сети", COUNTIFS($A$2:A433, A433, $C$2:C433, "Внутри сети")=1), 1, 0)</f>
        <v>0</v>
      </c>
      <c r="H433">
        <f>IF(AND(B433=6, COUNTIFS($A$2:A433, A433, $B$2:B433, 6)=1), 1, 0)</f>
        <v>0</v>
      </c>
      <c r="I433">
        <f>IF(AND(B433=2, COUNTIFS($A$2:A433, A433, $B$2:B433, 2)=1), 1, 0)</f>
        <v>0</v>
      </c>
    </row>
    <row r="434" spans="1:9">
      <c r="A434" s="22">
        <v>77010000233</v>
      </c>
      <c r="B434" s="22">
        <v>5</v>
      </c>
      <c r="C434" s="23" t="s">
        <v>0</v>
      </c>
      <c r="D434" s="22">
        <v>3.84</v>
      </c>
      <c r="E434" s="39">
        <v>9</v>
      </c>
      <c r="F434">
        <f>IF(COUNTIF($A$2:A434, A434)=1, 1, 0)</f>
        <v>1</v>
      </c>
      <c r="G434">
        <f>IF(AND(C434="Внутри сети", COUNTIFS($A$2:A434, A434, $C$2:C434, "Внутри сети")=1), 1, 0)</f>
        <v>1</v>
      </c>
      <c r="H434">
        <f>IF(AND(B434=6, COUNTIFS($A$2:A434, A434, $B$2:B434, 6)=1), 1, 0)</f>
        <v>0</v>
      </c>
      <c r="I434">
        <f>IF(AND(B434=2, COUNTIFS($A$2:A434, A434, $B$2:B434, 2)=1), 1, 0)</f>
        <v>0</v>
      </c>
    </row>
    <row r="435" spans="1:9">
      <c r="A435" s="22">
        <v>77010000237</v>
      </c>
      <c r="B435" s="22">
        <v>5</v>
      </c>
      <c r="C435" s="23" t="s">
        <v>0</v>
      </c>
      <c r="D435" s="22">
        <v>3.84</v>
      </c>
      <c r="E435" s="39">
        <v>9</v>
      </c>
      <c r="F435">
        <f>IF(COUNTIF($A$2:A435, A435)=1, 1, 0)</f>
        <v>1</v>
      </c>
      <c r="G435">
        <f>IF(AND(C435="Внутри сети", COUNTIFS($A$2:A435, A435, $C$2:C435, "Внутри сети")=1), 1, 0)</f>
        <v>1</v>
      </c>
      <c r="H435">
        <f>IF(AND(B435=6, COUNTIFS($A$2:A435, A435, $B$2:B435, 6)=1), 1, 0)</f>
        <v>0</v>
      </c>
      <c r="I435">
        <f>IF(AND(B435=2, COUNTIFS($A$2:A435, A435, $B$2:B435, 2)=1), 1, 0)</f>
        <v>0</v>
      </c>
    </row>
    <row r="436" spans="1:9">
      <c r="A436" s="22">
        <v>77010000166</v>
      </c>
      <c r="B436" s="22">
        <v>5</v>
      </c>
      <c r="C436" s="23" t="s">
        <v>0</v>
      </c>
      <c r="D436" s="22">
        <v>3.41</v>
      </c>
      <c r="E436" s="39">
        <v>8</v>
      </c>
      <c r="F436">
        <f>IF(COUNTIF($A$2:A436, A436)=1, 1, 0)</f>
        <v>1</v>
      </c>
      <c r="G436">
        <f>IF(AND(C436="Внутри сети", COUNTIFS($A$2:A436, A436, $C$2:C436, "Внутри сети")=1), 1, 0)</f>
        <v>1</v>
      </c>
      <c r="H436">
        <f>IF(AND(B436=6, COUNTIFS($A$2:A436, A436, $B$2:B436, 6)=1), 1, 0)</f>
        <v>0</v>
      </c>
      <c r="I436">
        <f>IF(AND(B436=2, COUNTIFS($A$2:A436, A436, $B$2:B436, 2)=1), 1, 0)</f>
        <v>0</v>
      </c>
    </row>
    <row r="437" spans="1:9">
      <c r="A437" s="22">
        <v>77010000176</v>
      </c>
      <c r="B437" s="22">
        <v>5</v>
      </c>
      <c r="C437" s="23" t="s">
        <v>0</v>
      </c>
      <c r="D437" s="22">
        <v>3.41</v>
      </c>
      <c r="E437" s="39">
        <v>8</v>
      </c>
      <c r="F437">
        <f>IF(COUNTIF($A$2:A437, A437)=1, 1, 0)</f>
        <v>0</v>
      </c>
      <c r="G437">
        <f>IF(AND(C437="Внутри сети", COUNTIFS($A$2:A437, A437, $C$2:C437, "Внутри сети")=1), 1, 0)</f>
        <v>0</v>
      </c>
      <c r="H437">
        <f>IF(AND(B437=6, COUNTIFS($A$2:A437, A437, $B$2:B437, 6)=1), 1, 0)</f>
        <v>0</v>
      </c>
      <c r="I437">
        <f>IF(AND(B437=2, COUNTIFS($A$2:A437, A437, $B$2:B437, 2)=1), 1, 0)</f>
        <v>0</v>
      </c>
    </row>
    <row r="438" spans="1:9">
      <c r="A438" s="22">
        <v>77010000205</v>
      </c>
      <c r="B438" s="22">
        <v>5</v>
      </c>
      <c r="C438" s="23" t="s">
        <v>0</v>
      </c>
      <c r="D438" s="22">
        <v>3.41</v>
      </c>
      <c r="E438" s="39">
        <v>8</v>
      </c>
      <c r="F438">
        <f>IF(COUNTIF($A$2:A438, A438)=1, 1, 0)</f>
        <v>0</v>
      </c>
      <c r="G438">
        <f>IF(AND(C438="Внутри сети", COUNTIFS($A$2:A438, A438, $C$2:C438, "Внутри сети")=1), 1, 0)</f>
        <v>0</v>
      </c>
      <c r="H438">
        <f>IF(AND(B438=6, COUNTIFS($A$2:A438, A438, $B$2:B438, 6)=1), 1, 0)</f>
        <v>0</v>
      </c>
      <c r="I438">
        <f>IF(AND(B438=2, COUNTIFS($A$2:A438, A438, $B$2:B438, 2)=1), 1, 0)</f>
        <v>0</v>
      </c>
    </row>
    <row r="439" spans="1:9">
      <c r="A439" s="22">
        <v>77010000169</v>
      </c>
      <c r="B439" s="22">
        <v>5</v>
      </c>
      <c r="C439" s="23" t="s">
        <v>0</v>
      </c>
      <c r="D439" s="22">
        <v>3.41</v>
      </c>
      <c r="E439" s="39">
        <v>8</v>
      </c>
      <c r="F439">
        <f>IF(COUNTIF($A$2:A439, A439)=1, 1, 0)</f>
        <v>1</v>
      </c>
      <c r="G439">
        <f>IF(AND(C439="Внутри сети", COUNTIFS($A$2:A439, A439, $C$2:C439, "Внутри сети")=1), 1, 0)</f>
        <v>1</v>
      </c>
      <c r="H439">
        <f>IF(AND(B439=6, COUNTIFS($A$2:A439, A439, $B$2:B439, 6)=1), 1, 0)</f>
        <v>0</v>
      </c>
      <c r="I439">
        <f>IF(AND(B439=2, COUNTIFS($A$2:A439, A439, $B$2:B439, 2)=1), 1, 0)</f>
        <v>0</v>
      </c>
    </row>
    <row r="440" spans="1:9">
      <c r="A440" s="22">
        <v>77010000171</v>
      </c>
      <c r="B440" s="22">
        <v>5</v>
      </c>
      <c r="C440" s="23" t="s">
        <v>0</v>
      </c>
      <c r="D440" s="22">
        <v>3.41</v>
      </c>
      <c r="E440" s="39">
        <v>8</v>
      </c>
      <c r="F440">
        <f>IF(COUNTIF($A$2:A440, A440)=1, 1, 0)</f>
        <v>1</v>
      </c>
      <c r="G440">
        <f>IF(AND(C440="Внутри сети", COUNTIFS($A$2:A440, A440, $C$2:C440, "Внутри сети")=1), 1, 0)</f>
        <v>1</v>
      </c>
      <c r="H440">
        <f>IF(AND(B440=6, COUNTIFS($A$2:A440, A440, $B$2:B440, 6)=1), 1, 0)</f>
        <v>0</v>
      </c>
      <c r="I440">
        <f>IF(AND(B440=2, COUNTIFS($A$2:A440, A440, $B$2:B440, 2)=1), 1, 0)</f>
        <v>0</v>
      </c>
    </row>
    <row r="441" spans="1:9">
      <c r="A441" s="22">
        <v>77010000186</v>
      </c>
      <c r="B441" s="22">
        <v>5</v>
      </c>
      <c r="C441" s="23" t="s">
        <v>0</v>
      </c>
      <c r="D441" s="22">
        <v>3.41</v>
      </c>
      <c r="E441" s="39">
        <v>8</v>
      </c>
      <c r="F441">
        <f>IF(COUNTIF($A$2:A441, A441)=1, 1, 0)</f>
        <v>0</v>
      </c>
      <c r="G441">
        <f>IF(AND(C441="Внутри сети", COUNTIFS($A$2:A441, A441, $C$2:C441, "Внутри сети")=1), 1, 0)</f>
        <v>0</v>
      </c>
      <c r="H441">
        <f>IF(AND(B441=6, COUNTIFS($A$2:A441, A441, $B$2:B441, 6)=1), 1, 0)</f>
        <v>0</v>
      </c>
      <c r="I441">
        <f>IF(AND(B441=2, COUNTIFS($A$2:A441, A441, $B$2:B441, 2)=1), 1, 0)</f>
        <v>0</v>
      </c>
    </row>
    <row r="442" spans="1:9">
      <c r="A442" s="22">
        <v>77010000235</v>
      </c>
      <c r="B442" s="22">
        <v>5</v>
      </c>
      <c r="C442" s="23" t="s">
        <v>0</v>
      </c>
      <c r="D442" s="22">
        <v>3.41</v>
      </c>
      <c r="E442" s="39">
        <v>8</v>
      </c>
      <c r="F442">
        <f>IF(COUNTIF($A$2:A442, A442)=1, 1, 0)</f>
        <v>1</v>
      </c>
      <c r="G442">
        <f>IF(AND(C442="Внутри сети", COUNTIFS($A$2:A442, A442, $C$2:C442, "Внутри сети")=1), 1, 0)</f>
        <v>1</v>
      </c>
      <c r="H442">
        <f>IF(AND(B442=6, COUNTIFS($A$2:A442, A442, $B$2:B442, 6)=1), 1, 0)</f>
        <v>0</v>
      </c>
      <c r="I442">
        <f>IF(AND(B442=2, COUNTIFS($A$2:A442, A442, $B$2:B442, 2)=1), 1, 0)</f>
        <v>0</v>
      </c>
    </row>
    <row r="443" spans="1:9">
      <c r="A443" s="22">
        <v>77010000218</v>
      </c>
      <c r="B443" s="22">
        <v>5</v>
      </c>
      <c r="C443" s="23" t="s">
        <v>0</v>
      </c>
      <c r="D443" s="22">
        <v>3.41</v>
      </c>
      <c r="E443" s="39">
        <v>8</v>
      </c>
      <c r="F443">
        <f>IF(COUNTIF($A$2:A443, A443)=1, 1, 0)</f>
        <v>1</v>
      </c>
      <c r="G443">
        <f>IF(AND(C443="Внутри сети", COUNTIFS($A$2:A443, A443, $C$2:C443, "Внутри сети")=1), 1, 0)</f>
        <v>1</v>
      </c>
      <c r="H443">
        <f>IF(AND(B443=6, COUNTIFS($A$2:A443, A443, $B$2:B443, 6)=1), 1, 0)</f>
        <v>0</v>
      </c>
      <c r="I443">
        <f>IF(AND(B443=2, COUNTIFS($A$2:A443, A443, $B$2:B443, 2)=1), 1, 0)</f>
        <v>0</v>
      </c>
    </row>
    <row r="444" spans="1:9">
      <c r="A444" s="22">
        <v>77010000220</v>
      </c>
      <c r="B444" s="22">
        <v>5</v>
      </c>
      <c r="C444" s="23" t="s">
        <v>0</v>
      </c>
      <c r="D444" s="22">
        <v>3.41</v>
      </c>
      <c r="E444" s="39">
        <v>8</v>
      </c>
      <c r="F444">
        <f>IF(COUNTIF($A$2:A444, A444)=1, 1, 0)</f>
        <v>1</v>
      </c>
      <c r="G444">
        <f>IF(AND(C444="Внутри сети", COUNTIFS($A$2:A444, A444, $C$2:C444, "Внутри сети")=1), 1, 0)</f>
        <v>1</v>
      </c>
      <c r="H444">
        <f>IF(AND(B444=6, COUNTIFS($A$2:A444, A444, $B$2:B444, 6)=1), 1, 0)</f>
        <v>0</v>
      </c>
      <c r="I444">
        <f>IF(AND(B444=2, COUNTIFS($A$2:A444, A444, $B$2:B444, 2)=1), 1, 0)</f>
        <v>0</v>
      </c>
    </row>
    <row r="445" spans="1:9">
      <c r="A445" s="22">
        <v>77010000178</v>
      </c>
      <c r="B445" s="22">
        <v>5</v>
      </c>
      <c r="C445" s="23" t="s">
        <v>0</v>
      </c>
      <c r="D445" s="22">
        <v>2.98</v>
      </c>
      <c r="E445" s="39">
        <v>7</v>
      </c>
      <c r="F445">
        <f>IF(COUNTIF($A$2:A445, A445)=1, 1, 0)</f>
        <v>0</v>
      </c>
      <c r="G445">
        <f>IF(AND(C445="Внутри сети", COUNTIFS($A$2:A445, A445, $C$2:C445, "Внутри сети")=1), 1, 0)</f>
        <v>0</v>
      </c>
      <c r="H445">
        <f>IF(AND(B445=6, COUNTIFS($A$2:A445, A445, $B$2:B445, 6)=1), 1, 0)</f>
        <v>0</v>
      </c>
      <c r="I445">
        <f>IF(AND(B445=2, COUNTIFS($A$2:A445, A445, $B$2:B445, 2)=1), 1, 0)</f>
        <v>0</v>
      </c>
    </row>
    <row r="446" spans="1:9">
      <c r="A446" s="22">
        <v>77010000188</v>
      </c>
      <c r="B446" s="22">
        <v>5</v>
      </c>
      <c r="C446" s="23" t="s">
        <v>0</v>
      </c>
      <c r="D446" s="22">
        <v>2.98</v>
      </c>
      <c r="E446" s="39">
        <v>7</v>
      </c>
      <c r="F446">
        <f>IF(COUNTIF($A$2:A446, A446)=1, 1, 0)</f>
        <v>0</v>
      </c>
      <c r="G446">
        <f>IF(AND(C446="Внутри сети", COUNTIFS($A$2:A446, A446, $C$2:C446, "Внутри сети")=1), 1, 0)</f>
        <v>0</v>
      </c>
      <c r="H446">
        <f>IF(AND(B446=6, COUNTIFS($A$2:A446, A446, $B$2:B446, 6)=1), 1, 0)</f>
        <v>0</v>
      </c>
      <c r="I446">
        <f>IF(AND(B446=2, COUNTIFS($A$2:A446, A446, $B$2:B446, 2)=1), 1, 0)</f>
        <v>0</v>
      </c>
    </row>
    <row r="447" spans="1:9">
      <c r="A447" s="22">
        <v>77010000190</v>
      </c>
      <c r="B447" s="22">
        <v>5</v>
      </c>
      <c r="C447" s="23" t="s">
        <v>0</v>
      </c>
      <c r="D447" s="22">
        <v>2.98</v>
      </c>
      <c r="E447" s="39">
        <v>7</v>
      </c>
      <c r="F447">
        <f>IF(COUNTIF($A$2:A447, A447)=1, 1, 0)</f>
        <v>1</v>
      </c>
      <c r="G447">
        <f>IF(AND(C447="Внутри сети", COUNTIFS($A$2:A447, A447, $C$2:C447, "Внутри сети")=1), 1, 0)</f>
        <v>1</v>
      </c>
      <c r="H447">
        <f>IF(AND(B447=6, COUNTIFS($A$2:A447, A447, $B$2:B447, 6)=1), 1, 0)</f>
        <v>0</v>
      </c>
      <c r="I447">
        <f>IF(AND(B447=2, COUNTIFS($A$2:A447, A447, $B$2:B447, 2)=1), 1, 0)</f>
        <v>0</v>
      </c>
    </row>
    <row r="448" spans="1:9">
      <c r="A448" s="22">
        <v>77010000172</v>
      </c>
      <c r="B448" s="22">
        <v>5</v>
      </c>
      <c r="C448" s="23" t="s">
        <v>0</v>
      </c>
      <c r="D448" s="22">
        <v>2.98</v>
      </c>
      <c r="E448" s="39">
        <v>7</v>
      </c>
      <c r="F448">
        <f>IF(COUNTIF($A$2:A448, A448)=1, 1, 0)</f>
        <v>0</v>
      </c>
      <c r="G448">
        <f>IF(AND(C448="Внутри сети", COUNTIFS($A$2:A448, A448, $C$2:C448, "Внутри сети")=1), 1, 0)</f>
        <v>1</v>
      </c>
      <c r="H448">
        <f>IF(AND(B448=6, COUNTIFS($A$2:A448, A448, $B$2:B448, 6)=1), 1, 0)</f>
        <v>0</v>
      </c>
      <c r="I448">
        <f>IF(AND(B448=2, COUNTIFS($A$2:A448, A448, $B$2:B448, 2)=1), 1, 0)</f>
        <v>0</v>
      </c>
    </row>
    <row r="449" spans="1:9">
      <c r="A449" s="22">
        <v>77010000175</v>
      </c>
      <c r="B449" s="22">
        <v>5</v>
      </c>
      <c r="C449" s="23" t="s">
        <v>1</v>
      </c>
      <c r="D449" s="22">
        <v>7.43</v>
      </c>
      <c r="E449" s="39">
        <v>7</v>
      </c>
      <c r="F449">
        <f>IF(COUNTIF($A$2:A449, A449)=1, 1, 0)</f>
        <v>1</v>
      </c>
      <c r="G449">
        <f>IF(AND(C449="Внутри сети", COUNTIFS($A$2:A449, A449, $C$2:C449, "Внутри сети")=1), 1, 0)</f>
        <v>0</v>
      </c>
      <c r="H449">
        <f>IF(AND(B449=6, COUNTIFS($A$2:A449, A449, $B$2:B449, 6)=1), 1, 0)</f>
        <v>0</v>
      </c>
      <c r="I449">
        <f>IF(AND(B449=2, COUNTIFS($A$2:A449, A449, $B$2:B449, 2)=1), 1, 0)</f>
        <v>0</v>
      </c>
    </row>
    <row r="450" spans="1:9">
      <c r="A450" s="22">
        <v>77010000180</v>
      </c>
      <c r="B450" s="22">
        <v>5</v>
      </c>
      <c r="C450" s="23" t="s">
        <v>0</v>
      </c>
      <c r="D450" s="22">
        <v>2.98</v>
      </c>
      <c r="E450" s="39">
        <v>7</v>
      </c>
      <c r="F450">
        <f>IF(COUNTIF($A$2:A450, A450)=1, 1, 0)</f>
        <v>0</v>
      </c>
      <c r="G450">
        <f>IF(AND(C450="Внутри сети", COUNTIFS($A$2:A450, A450, $C$2:C450, "Внутри сети")=1), 1, 0)</f>
        <v>0</v>
      </c>
      <c r="H450">
        <f>IF(AND(B450=6, COUNTIFS($A$2:A450, A450, $B$2:B450, 6)=1), 1, 0)</f>
        <v>0</v>
      </c>
      <c r="I450">
        <f>IF(AND(B450=2, COUNTIFS($A$2:A450, A450, $B$2:B450, 2)=1), 1, 0)</f>
        <v>0</v>
      </c>
    </row>
    <row r="451" spans="1:9">
      <c r="A451" s="22">
        <v>77010000189</v>
      </c>
      <c r="B451" s="22">
        <v>5</v>
      </c>
      <c r="C451" s="23" t="s">
        <v>0</v>
      </c>
      <c r="D451" s="22">
        <v>2.98</v>
      </c>
      <c r="E451" s="39">
        <v>7</v>
      </c>
      <c r="F451">
        <f>IF(COUNTIF($A$2:A451, A451)=1, 1, 0)</f>
        <v>0</v>
      </c>
      <c r="G451">
        <f>IF(AND(C451="Внутри сети", COUNTIFS($A$2:A451, A451, $C$2:C451, "Внутри сети")=1), 1, 0)</f>
        <v>0</v>
      </c>
      <c r="H451">
        <f>IF(AND(B451=6, COUNTIFS($A$2:A451, A451, $B$2:B451, 6)=1), 1, 0)</f>
        <v>0</v>
      </c>
      <c r="I451">
        <f>IF(AND(B451=2, COUNTIFS($A$2:A451, A451, $B$2:B451, 2)=1), 1, 0)</f>
        <v>0</v>
      </c>
    </row>
    <row r="452" spans="1:9">
      <c r="A452" s="22">
        <v>77010000191</v>
      </c>
      <c r="B452" s="22">
        <v>5</v>
      </c>
      <c r="C452" s="23" t="s">
        <v>0</v>
      </c>
      <c r="D452" s="22">
        <v>2.98</v>
      </c>
      <c r="E452" s="39">
        <v>7</v>
      </c>
      <c r="F452">
        <f>IF(COUNTIF($A$2:A452, A452)=1, 1, 0)</f>
        <v>0</v>
      </c>
      <c r="G452">
        <f>IF(AND(C452="Внутри сети", COUNTIFS($A$2:A452, A452, $C$2:C452, "Внутри сети")=1), 1, 0)</f>
        <v>0</v>
      </c>
      <c r="H452">
        <f>IF(AND(B452=6, COUNTIFS($A$2:A452, A452, $B$2:B452, 6)=1), 1, 0)</f>
        <v>0</v>
      </c>
      <c r="I452">
        <f>IF(AND(B452=2, COUNTIFS($A$2:A452, A452, $B$2:B452, 2)=1), 1, 0)</f>
        <v>0</v>
      </c>
    </row>
    <row r="453" spans="1:9">
      <c r="A453" s="22">
        <v>77010000221</v>
      </c>
      <c r="B453" s="22">
        <v>5</v>
      </c>
      <c r="C453" s="23" t="s">
        <v>0</v>
      </c>
      <c r="D453" s="22">
        <v>2.98</v>
      </c>
      <c r="E453" s="39">
        <v>7</v>
      </c>
      <c r="F453">
        <f>IF(COUNTIF($A$2:A453, A453)=1, 1, 0)</f>
        <v>1</v>
      </c>
      <c r="G453">
        <f>IF(AND(C453="Внутри сети", COUNTIFS($A$2:A453, A453, $C$2:C453, "Внутри сети")=1), 1, 0)</f>
        <v>1</v>
      </c>
      <c r="H453">
        <f>IF(AND(B453=6, COUNTIFS($A$2:A453, A453, $B$2:B453, 6)=1), 1, 0)</f>
        <v>0</v>
      </c>
      <c r="I453">
        <f>IF(AND(B453=2, COUNTIFS($A$2:A453, A453, $B$2:B453, 2)=1), 1, 0)</f>
        <v>0</v>
      </c>
    </row>
    <row r="454" spans="1:9">
      <c r="A454" s="22">
        <v>77010000163</v>
      </c>
      <c r="B454" s="22">
        <v>5</v>
      </c>
      <c r="C454" s="23" t="s">
        <v>0</v>
      </c>
      <c r="D454" s="22">
        <v>2.56</v>
      </c>
      <c r="E454" s="39">
        <v>6</v>
      </c>
      <c r="F454">
        <f>IF(COUNTIF($A$2:A454, A454)=1, 1, 0)</f>
        <v>1</v>
      </c>
      <c r="G454">
        <f>IF(AND(C454="Внутри сети", COUNTIFS($A$2:A454, A454, $C$2:C454, "Внутри сети")=1), 1, 0)</f>
        <v>1</v>
      </c>
      <c r="H454">
        <f>IF(AND(B454=6, COUNTIFS($A$2:A454, A454, $B$2:B454, 6)=1), 1, 0)</f>
        <v>0</v>
      </c>
      <c r="I454">
        <f>IF(AND(B454=2, COUNTIFS($A$2:A454, A454, $B$2:B454, 2)=1), 1, 0)</f>
        <v>0</v>
      </c>
    </row>
    <row r="455" spans="1:9">
      <c r="A455" s="22">
        <v>77010000170</v>
      </c>
      <c r="B455" s="22">
        <v>5</v>
      </c>
      <c r="C455" s="23" t="s">
        <v>0</v>
      </c>
      <c r="D455" s="22">
        <v>2.56</v>
      </c>
      <c r="E455" s="39">
        <v>6</v>
      </c>
      <c r="F455">
        <f>IF(COUNTIF($A$2:A455, A455)=1, 1, 0)</f>
        <v>0</v>
      </c>
      <c r="G455">
        <f>IF(AND(C455="Внутри сети", COUNTIFS($A$2:A455, A455, $C$2:C455, "Внутри сети")=1), 1, 0)</f>
        <v>0</v>
      </c>
      <c r="H455">
        <f>IF(AND(B455=6, COUNTIFS($A$2:A455, A455, $B$2:B455, 6)=1), 1, 0)</f>
        <v>0</v>
      </c>
      <c r="I455">
        <f>IF(AND(B455=2, COUNTIFS($A$2:A455, A455, $B$2:B455, 2)=1), 1, 0)</f>
        <v>0</v>
      </c>
    </row>
    <row r="456" spans="1:9">
      <c r="A456" s="22">
        <v>77010000183</v>
      </c>
      <c r="B456" s="22">
        <v>5</v>
      </c>
      <c r="C456" s="23" t="s">
        <v>0</v>
      </c>
      <c r="D456" s="22">
        <v>2.56</v>
      </c>
      <c r="E456" s="39">
        <v>6</v>
      </c>
      <c r="F456">
        <f>IF(COUNTIF($A$2:A456, A456)=1, 1, 0)</f>
        <v>0</v>
      </c>
      <c r="G456">
        <f>IF(AND(C456="Внутри сети", COUNTIFS($A$2:A456, A456, $C$2:C456, "Внутри сети")=1), 1, 0)</f>
        <v>0</v>
      </c>
      <c r="H456">
        <f>IF(AND(B456=6, COUNTIFS($A$2:A456, A456, $B$2:B456, 6)=1), 1, 0)</f>
        <v>0</v>
      </c>
      <c r="I456">
        <f>IF(AND(B456=2, COUNTIFS($A$2:A456, A456, $B$2:B456, 2)=1), 1, 0)</f>
        <v>0</v>
      </c>
    </row>
    <row r="457" spans="1:9">
      <c r="A457" s="22">
        <v>77010000190</v>
      </c>
      <c r="B457" s="22">
        <v>5</v>
      </c>
      <c r="C457" s="23" t="s">
        <v>0</v>
      </c>
      <c r="D457" s="22">
        <v>2.56</v>
      </c>
      <c r="E457" s="39">
        <v>6</v>
      </c>
      <c r="F457">
        <f>IF(COUNTIF($A$2:A457, A457)=1, 1, 0)</f>
        <v>0</v>
      </c>
      <c r="G457">
        <f>IF(AND(C457="Внутри сети", COUNTIFS($A$2:A457, A457, $C$2:C457, "Внутри сети")=1), 1, 0)</f>
        <v>0</v>
      </c>
      <c r="H457">
        <f>IF(AND(B457=6, COUNTIFS($A$2:A457, A457, $B$2:B457, 6)=1), 1, 0)</f>
        <v>0</v>
      </c>
      <c r="I457">
        <f>IF(AND(B457=2, COUNTIFS($A$2:A457, A457, $B$2:B457, 2)=1), 1, 0)</f>
        <v>0</v>
      </c>
    </row>
    <row r="458" spans="1:9">
      <c r="A458" s="22">
        <v>77010000204</v>
      </c>
      <c r="B458" s="22">
        <v>5</v>
      </c>
      <c r="C458" s="23" t="s">
        <v>0</v>
      </c>
      <c r="D458" s="22">
        <v>0</v>
      </c>
      <c r="E458" s="39">
        <v>6</v>
      </c>
      <c r="F458">
        <f>IF(COUNTIF($A$2:A458, A458)=1, 1, 0)</f>
        <v>0</v>
      </c>
      <c r="G458">
        <f>IF(AND(C458="Внутри сети", COUNTIFS($A$2:A458, A458, $C$2:C458, "Внутри сети")=1), 1, 0)</f>
        <v>0</v>
      </c>
      <c r="H458">
        <f>IF(AND(B458=6, COUNTIFS($A$2:A458, A458, $B$2:B458, 6)=1), 1, 0)</f>
        <v>0</v>
      </c>
      <c r="I458">
        <f>IF(AND(B458=2, COUNTIFS($A$2:A458, A458, $B$2:B458, 2)=1), 1, 0)</f>
        <v>0</v>
      </c>
    </row>
    <row r="459" spans="1:9">
      <c r="A459" s="22">
        <v>77010000182</v>
      </c>
      <c r="B459" s="22">
        <v>5</v>
      </c>
      <c r="C459" s="23" t="s">
        <v>0</v>
      </c>
      <c r="D459" s="22">
        <v>2.56</v>
      </c>
      <c r="E459" s="39">
        <v>6</v>
      </c>
      <c r="F459">
        <f>IF(COUNTIF($A$2:A459, A459)=1, 1, 0)</f>
        <v>0</v>
      </c>
      <c r="G459">
        <f>IF(AND(C459="Внутри сети", COUNTIFS($A$2:A459, A459, $C$2:C459, "Внутри сети")=1), 1, 0)</f>
        <v>0</v>
      </c>
      <c r="H459">
        <f>IF(AND(B459=6, COUNTIFS($A$2:A459, A459, $B$2:B459, 6)=1), 1, 0)</f>
        <v>0</v>
      </c>
      <c r="I459">
        <f>IF(AND(B459=2, COUNTIFS($A$2:A459, A459, $B$2:B459, 2)=1), 1, 0)</f>
        <v>0</v>
      </c>
    </row>
    <row r="460" spans="1:9">
      <c r="A460" s="22">
        <v>77010000183</v>
      </c>
      <c r="B460" s="22">
        <v>5</v>
      </c>
      <c r="C460" s="23" t="s">
        <v>0</v>
      </c>
      <c r="D460" s="22">
        <v>2.56</v>
      </c>
      <c r="E460" s="39">
        <v>6</v>
      </c>
      <c r="F460">
        <f>IF(COUNTIF($A$2:A460, A460)=1, 1, 0)</f>
        <v>0</v>
      </c>
      <c r="G460">
        <f>IF(AND(C460="Внутри сети", COUNTIFS($A$2:A460, A460, $C$2:C460, "Внутри сети")=1), 1, 0)</f>
        <v>0</v>
      </c>
      <c r="H460">
        <f>IF(AND(B460=6, COUNTIFS($A$2:A460, A460, $B$2:B460, 6)=1), 1, 0)</f>
        <v>0</v>
      </c>
      <c r="I460">
        <f>IF(AND(B460=2, COUNTIFS($A$2:A460, A460, $B$2:B460, 2)=1), 1, 0)</f>
        <v>0</v>
      </c>
    </row>
    <row r="461" spans="1:9">
      <c r="A461" s="22">
        <v>77010000190</v>
      </c>
      <c r="B461" s="22">
        <v>5</v>
      </c>
      <c r="C461" s="23" t="s">
        <v>0</v>
      </c>
      <c r="D461" s="22">
        <v>2.56</v>
      </c>
      <c r="E461" s="39">
        <v>6</v>
      </c>
      <c r="F461">
        <f>IF(COUNTIF($A$2:A461, A461)=1, 1, 0)</f>
        <v>0</v>
      </c>
      <c r="G461">
        <f>IF(AND(C461="Внутри сети", COUNTIFS($A$2:A461, A461, $C$2:C461, "Внутри сети")=1), 1, 0)</f>
        <v>0</v>
      </c>
      <c r="H461">
        <f>IF(AND(B461=6, COUNTIFS($A$2:A461, A461, $B$2:B461, 6)=1), 1, 0)</f>
        <v>0</v>
      </c>
      <c r="I461">
        <f>IF(AND(B461=2, COUNTIFS($A$2:A461, A461, $B$2:B461, 2)=1), 1, 0)</f>
        <v>0</v>
      </c>
    </row>
    <row r="462" spans="1:9">
      <c r="A462" s="22">
        <v>77010000219</v>
      </c>
      <c r="B462" s="22">
        <v>5</v>
      </c>
      <c r="C462" s="23" t="s">
        <v>0</v>
      </c>
      <c r="D462" s="22">
        <v>2.56</v>
      </c>
      <c r="E462" s="39">
        <v>6</v>
      </c>
      <c r="F462">
        <f>IF(COUNTIF($A$2:A462, A462)=1, 1, 0)</f>
        <v>1</v>
      </c>
      <c r="G462">
        <f>IF(AND(C462="Внутри сети", COUNTIFS($A$2:A462, A462, $C$2:C462, "Внутри сети")=1), 1, 0)</f>
        <v>1</v>
      </c>
      <c r="H462">
        <f>IF(AND(B462=6, COUNTIFS($A$2:A462, A462, $B$2:B462, 6)=1), 1, 0)</f>
        <v>0</v>
      </c>
      <c r="I462">
        <f>IF(AND(B462=2, COUNTIFS($A$2:A462, A462, $B$2:B462, 2)=1), 1, 0)</f>
        <v>0</v>
      </c>
    </row>
    <row r="463" spans="1:9">
      <c r="A463" s="22">
        <v>77010000162</v>
      </c>
      <c r="B463" s="22">
        <v>5</v>
      </c>
      <c r="C463" s="23" t="s">
        <v>0</v>
      </c>
      <c r="D463" s="22">
        <v>2.13</v>
      </c>
      <c r="E463" s="39">
        <v>5</v>
      </c>
      <c r="F463">
        <f>IF(COUNTIF($A$2:A463, A463)=1, 1, 0)</f>
        <v>1</v>
      </c>
      <c r="G463">
        <f>IF(AND(C463="Внутри сети", COUNTIFS($A$2:A463, A463, $C$2:C463, "Внутри сети")=1), 1, 0)</f>
        <v>1</v>
      </c>
      <c r="H463">
        <f>IF(AND(B463=6, COUNTIFS($A$2:A463, A463, $B$2:B463, 6)=1), 1, 0)</f>
        <v>0</v>
      </c>
      <c r="I463">
        <f>IF(AND(B463=2, COUNTIFS($A$2:A463, A463, $B$2:B463, 2)=1), 1, 0)</f>
        <v>0</v>
      </c>
    </row>
    <row r="464" spans="1:9">
      <c r="A464" s="22">
        <v>77010000167</v>
      </c>
      <c r="B464" s="22">
        <v>5</v>
      </c>
      <c r="C464" s="23" t="s">
        <v>0</v>
      </c>
      <c r="D464" s="22">
        <v>2.13</v>
      </c>
      <c r="E464" s="39">
        <v>5</v>
      </c>
      <c r="F464">
        <f>IF(COUNTIF($A$2:A464, A464)=1, 1, 0)</f>
        <v>1</v>
      </c>
      <c r="G464">
        <f>IF(AND(C464="Внутри сети", COUNTIFS($A$2:A464, A464, $C$2:C464, "Внутри сети")=1), 1, 0)</f>
        <v>1</v>
      </c>
      <c r="H464">
        <f>IF(AND(B464=6, COUNTIFS($A$2:A464, A464, $B$2:B464, 6)=1), 1, 0)</f>
        <v>0</v>
      </c>
      <c r="I464">
        <f>IF(AND(B464=2, COUNTIFS($A$2:A464, A464, $B$2:B464, 2)=1), 1, 0)</f>
        <v>0</v>
      </c>
    </row>
    <row r="465" spans="1:9">
      <c r="A465" s="22">
        <v>77010000200</v>
      </c>
      <c r="B465" s="22">
        <v>5</v>
      </c>
      <c r="C465" s="23" t="s">
        <v>0</v>
      </c>
      <c r="D465" s="22">
        <v>2.13</v>
      </c>
      <c r="E465" s="39">
        <v>5</v>
      </c>
      <c r="F465">
        <f>IF(COUNTIF($A$2:A465, A465)=1, 1, 0)</f>
        <v>1</v>
      </c>
      <c r="G465">
        <f>IF(AND(C465="Внутри сети", COUNTIFS($A$2:A465, A465, $C$2:C465, "Внутри сети")=1), 1, 0)</f>
        <v>1</v>
      </c>
      <c r="H465">
        <f>IF(AND(B465=6, COUNTIFS($A$2:A465, A465, $B$2:B465, 6)=1), 1, 0)</f>
        <v>0</v>
      </c>
      <c r="I465">
        <f>IF(AND(B465=2, COUNTIFS($A$2:A465, A465, $B$2:B465, 2)=1), 1, 0)</f>
        <v>0</v>
      </c>
    </row>
    <row r="466" spans="1:9">
      <c r="A466" s="22">
        <v>77010000184</v>
      </c>
      <c r="B466" s="22">
        <v>5</v>
      </c>
      <c r="C466" s="23" t="s">
        <v>0</v>
      </c>
      <c r="D466" s="22">
        <v>2.13</v>
      </c>
      <c r="E466" s="39">
        <v>5</v>
      </c>
      <c r="F466">
        <f>IF(COUNTIF($A$2:A466, A466)=1, 1, 0)</f>
        <v>0</v>
      </c>
      <c r="G466">
        <f>IF(AND(C466="Внутри сети", COUNTIFS($A$2:A466, A466, $C$2:C466, "Внутри сети")=1), 1, 0)</f>
        <v>0</v>
      </c>
      <c r="H466">
        <f>IF(AND(B466=6, COUNTIFS($A$2:A466, A466, $B$2:B466, 6)=1), 1, 0)</f>
        <v>0</v>
      </c>
      <c r="I466">
        <f>IF(AND(B466=2, COUNTIFS($A$2:A466, A466, $B$2:B466, 2)=1), 1, 0)</f>
        <v>0</v>
      </c>
    </row>
    <row r="467" spans="1:9">
      <c r="A467" s="22">
        <v>77010000177</v>
      </c>
      <c r="B467" s="22">
        <v>5</v>
      </c>
      <c r="C467" s="23" t="s">
        <v>0</v>
      </c>
      <c r="D467" s="22">
        <v>2.13</v>
      </c>
      <c r="E467" s="39">
        <v>5</v>
      </c>
      <c r="F467">
        <f>IF(COUNTIF($A$2:A467, A467)=1, 1, 0)</f>
        <v>0</v>
      </c>
      <c r="G467">
        <f>IF(AND(C467="Внутри сети", COUNTIFS($A$2:A467, A467, $C$2:C467, "Внутри сети")=1), 1, 0)</f>
        <v>0</v>
      </c>
      <c r="H467">
        <f>IF(AND(B467=6, COUNTIFS($A$2:A467, A467, $B$2:B467, 6)=1), 1, 0)</f>
        <v>0</v>
      </c>
      <c r="I467">
        <f>IF(AND(B467=2, COUNTIFS($A$2:A467, A467, $B$2:B467, 2)=1), 1, 0)</f>
        <v>0</v>
      </c>
    </row>
    <row r="468" spans="1:9">
      <c r="A468" s="22">
        <v>77010000193</v>
      </c>
      <c r="B468" s="22">
        <v>5</v>
      </c>
      <c r="C468" s="23" t="s">
        <v>0</v>
      </c>
      <c r="D468" s="22">
        <v>2.13</v>
      </c>
      <c r="E468" s="39">
        <v>5</v>
      </c>
      <c r="F468">
        <f>IF(COUNTIF($A$2:A468, A468)=1, 1, 0)</f>
        <v>1</v>
      </c>
      <c r="G468">
        <f>IF(AND(C468="Внутри сети", COUNTIFS($A$2:A468, A468, $C$2:C468, "Внутри сети")=1), 1, 0)</f>
        <v>1</v>
      </c>
      <c r="H468">
        <f>IF(AND(B468=6, COUNTIFS($A$2:A468, A468, $B$2:B468, 6)=1), 1, 0)</f>
        <v>0</v>
      </c>
      <c r="I468">
        <f>IF(AND(B468=2, COUNTIFS($A$2:A468, A468, $B$2:B468, 2)=1), 1, 0)</f>
        <v>0</v>
      </c>
    </row>
    <row r="469" spans="1:9">
      <c r="A469" s="22">
        <v>77010000212</v>
      </c>
      <c r="B469" s="22">
        <v>5</v>
      </c>
      <c r="C469" s="23" t="s">
        <v>0</v>
      </c>
      <c r="D469" s="22">
        <v>2.13</v>
      </c>
      <c r="E469" s="39">
        <v>5</v>
      </c>
      <c r="F469">
        <f>IF(COUNTIF($A$2:A469, A469)=1, 1, 0)</f>
        <v>0</v>
      </c>
      <c r="G469">
        <f>IF(AND(C469="Внутри сети", COUNTIFS($A$2:A469, A469, $C$2:C469, "Внутри сети")=1), 1, 0)</f>
        <v>0</v>
      </c>
      <c r="H469">
        <f>IF(AND(B469=6, COUNTIFS($A$2:A469, A469, $B$2:B469, 6)=1), 1, 0)</f>
        <v>0</v>
      </c>
      <c r="I469">
        <f>IF(AND(B469=2, COUNTIFS($A$2:A469, A469, $B$2:B469, 2)=1), 1, 0)</f>
        <v>0</v>
      </c>
    </row>
    <row r="470" spans="1:9">
      <c r="A470" s="22">
        <v>77010000235</v>
      </c>
      <c r="B470" s="22">
        <v>5</v>
      </c>
      <c r="C470" s="23" t="s">
        <v>0</v>
      </c>
      <c r="D470" s="22">
        <v>2.13</v>
      </c>
      <c r="E470" s="39">
        <v>5</v>
      </c>
      <c r="F470">
        <f>IF(COUNTIF($A$2:A470, A470)=1, 1, 0)</f>
        <v>0</v>
      </c>
      <c r="G470">
        <f>IF(AND(C470="Внутри сети", COUNTIFS($A$2:A470, A470, $C$2:C470, "Внутри сети")=1), 1, 0)</f>
        <v>0</v>
      </c>
      <c r="H470">
        <f>IF(AND(B470=6, COUNTIFS($A$2:A470, A470, $B$2:B470, 6)=1), 1, 0)</f>
        <v>0</v>
      </c>
      <c r="I470">
        <f>IF(AND(B470=2, COUNTIFS($A$2:A470, A470, $B$2:B470, 2)=1), 1, 0)</f>
        <v>0</v>
      </c>
    </row>
    <row r="471" spans="1:9">
      <c r="A471" s="22">
        <v>77010000164</v>
      </c>
      <c r="B471" s="22">
        <v>5</v>
      </c>
      <c r="C471" s="23" t="s">
        <v>0</v>
      </c>
      <c r="D471" s="22">
        <v>1.7</v>
      </c>
      <c r="E471" s="39">
        <v>4</v>
      </c>
      <c r="F471">
        <f>IF(COUNTIF($A$2:A471, A471)=1, 1, 0)</f>
        <v>1</v>
      </c>
      <c r="G471">
        <f>IF(AND(C471="Внутри сети", COUNTIFS($A$2:A471, A471, $C$2:C471, "Внутри сети")=1), 1, 0)</f>
        <v>1</v>
      </c>
      <c r="H471">
        <f>IF(AND(B471=6, COUNTIFS($A$2:A471, A471, $B$2:B471, 6)=1), 1, 0)</f>
        <v>0</v>
      </c>
      <c r="I471">
        <f>IF(AND(B471=2, COUNTIFS($A$2:A471, A471, $B$2:B471, 2)=1), 1, 0)</f>
        <v>0</v>
      </c>
    </row>
    <row r="472" spans="1:9">
      <c r="A472" s="22">
        <v>77010000164</v>
      </c>
      <c r="B472" s="22">
        <v>5</v>
      </c>
      <c r="C472" s="23" t="s">
        <v>0</v>
      </c>
      <c r="D472" s="22">
        <v>1.7</v>
      </c>
      <c r="E472" s="39">
        <v>4</v>
      </c>
      <c r="F472">
        <f>IF(COUNTIF($A$2:A472, A472)=1, 1, 0)</f>
        <v>0</v>
      </c>
      <c r="G472">
        <f>IF(AND(C472="Внутри сети", COUNTIFS($A$2:A472, A472, $C$2:C472, "Внутри сети")=1), 1, 0)</f>
        <v>0</v>
      </c>
      <c r="H472">
        <f>IF(AND(B472=6, COUNTIFS($A$2:A472, A472, $B$2:B472, 6)=1), 1, 0)</f>
        <v>0</v>
      </c>
      <c r="I472">
        <f>IF(AND(B472=2, COUNTIFS($A$2:A472, A472, $B$2:B472, 2)=1), 1, 0)</f>
        <v>0</v>
      </c>
    </row>
    <row r="473" spans="1:9">
      <c r="A473" s="22">
        <v>77010000169</v>
      </c>
      <c r="B473" s="22">
        <v>5</v>
      </c>
      <c r="C473" s="23" t="s">
        <v>0</v>
      </c>
      <c r="D473" s="22">
        <v>1.7</v>
      </c>
      <c r="E473" s="39">
        <v>4</v>
      </c>
      <c r="F473">
        <f>IF(COUNTIF($A$2:A473, A473)=1, 1, 0)</f>
        <v>0</v>
      </c>
      <c r="G473">
        <f>IF(AND(C473="Внутри сети", COUNTIFS($A$2:A473, A473, $C$2:C473, "Внутри сети")=1), 1, 0)</f>
        <v>0</v>
      </c>
      <c r="H473">
        <f>IF(AND(B473=6, COUNTIFS($A$2:A473, A473, $B$2:B473, 6)=1), 1, 0)</f>
        <v>0</v>
      </c>
      <c r="I473">
        <f>IF(AND(B473=2, COUNTIFS($A$2:A473, A473, $B$2:B473, 2)=1), 1, 0)</f>
        <v>0</v>
      </c>
    </row>
    <row r="474" spans="1:9">
      <c r="A474" s="22">
        <v>77010000172</v>
      </c>
      <c r="B474" s="22">
        <v>5</v>
      </c>
      <c r="C474" s="23" t="s">
        <v>0</v>
      </c>
      <c r="D474" s="22">
        <v>1.7</v>
      </c>
      <c r="E474" s="39">
        <v>4</v>
      </c>
      <c r="F474">
        <f>IF(COUNTIF($A$2:A474, A474)=1, 1, 0)</f>
        <v>0</v>
      </c>
      <c r="G474">
        <f>IF(AND(C474="Внутри сети", COUNTIFS($A$2:A474, A474, $C$2:C474, "Внутри сети")=1), 1, 0)</f>
        <v>0</v>
      </c>
      <c r="H474">
        <f>IF(AND(B474=6, COUNTIFS($A$2:A474, A474, $B$2:B474, 6)=1), 1, 0)</f>
        <v>0</v>
      </c>
      <c r="I474">
        <f>IF(AND(B474=2, COUNTIFS($A$2:A474, A474, $B$2:B474, 2)=1), 1, 0)</f>
        <v>0</v>
      </c>
    </row>
    <row r="475" spans="1:9">
      <c r="A475" s="22">
        <v>77010000180</v>
      </c>
      <c r="B475" s="22">
        <v>5</v>
      </c>
      <c r="C475" s="23" t="s">
        <v>0</v>
      </c>
      <c r="D475" s="22">
        <v>1.7</v>
      </c>
      <c r="E475" s="39">
        <v>4</v>
      </c>
      <c r="F475">
        <f>IF(COUNTIF($A$2:A475, A475)=1, 1, 0)</f>
        <v>0</v>
      </c>
      <c r="G475">
        <f>IF(AND(C475="Внутри сети", COUNTIFS($A$2:A475, A475, $C$2:C475, "Внутри сети")=1), 1, 0)</f>
        <v>0</v>
      </c>
      <c r="H475">
        <f>IF(AND(B475=6, COUNTIFS($A$2:A475, A475, $B$2:B475, 6)=1), 1, 0)</f>
        <v>0</v>
      </c>
      <c r="I475">
        <f>IF(AND(B475=2, COUNTIFS($A$2:A475, A475, $B$2:B475, 2)=1), 1, 0)</f>
        <v>0</v>
      </c>
    </row>
    <row r="476" spans="1:9">
      <c r="A476" s="22">
        <v>77010000191</v>
      </c>
      <c r="B476" s="22">
        <v>5</v>
      </c>
      <c r="C476" s="23" t="s">
        <v>1</v>
      </c>
      <c r="D476" s="22">
        <v>7.43</v>
      </c>
      <c r="E476" s="39">
        <v>4</v>
      </c>
      <c r="F476">
        <f>IF(COUNTIF($A$2:A476, A476)=1, 1, 0)</f>
        <v>0</v>
      </c>
      <c r="G476">
        <f>IF(AND(C476="Внутри сети", COUNTIFS($A$2:A476, A476, $C$2:C476, "Внутри сети")=1), 1, 0)</f>
        <v>0</v>
      </c>
      <c r="H476">
        <f>IF(AND(B476=6, COUNTIFS($A$2:A476, A476, $B$2:B476, 6)=1), 1, 0)</f>
        <v>0</v>
      </c>
      <c r="I476">
        <f>IF(AND(B476=2, COUNTIFS($A$2:A476, A476, $B$2:B476, 2)=1), 1, 0)</f>
        <v>0</v>
      </c>
    </row>
    <row r="477" spans="1:9">
      <c r="A477" s="22">
        <v>77010000196</v>
      </c>
      <c r="B477" s="22">
        <v>5</v>
      </c>
      <c r="C477" s="23" t="s">
        <v>0</v>
      </c>
      <c r="D477" s="22">
        <v>1.7</v>
      </c>
      <c r="E477" s="39">
        <v>4</v>
      </c>
      <c r="F477">
        <f>IF(COUNTIF($A$2:A477, A477)=1, 1, 0)</f>
        <v>0</v>
      </c>
      <c r="G477">
        <f>IF(AND(C477="Внутри сети", COUNTIFS($A$2:A477, A477, $C$2:C477, "Внутри сети")=1), 1, 0)</f>
        <v>0</v>
      </c>
      <c r="H477">
        <f>IF(AND(B477=6, COUNTIFS($A$2:A477, A477, $B$2:B477, 6)=1), 1, 0)</f>
        <v>0</v>
      </c>
      <c r="I477">
        <f>IF(AND(B477=2, COUNTIFS($A$2:A477, A477, $B$2:B477, 2)=1), 1, 0)</f>
        <v>0</v>
      </c>
    </row>
    <row r="478" spans="1:9">
      <c r="A478" s="22">
        <v>77010000169</v>
      </c>
      <c r="B478" s="22">
        <v>5</v>
      </c>
      <c r="C478" s="23" t="s">
        <v>0</v>
      </c>
      <c r="D478" s="22">
        <v>1.7</v>
      </c>
      <c r="E478" s="39">
        <v>4</v>
      </c>
      <c r="F478">
        <f>IF(COUNTIF($A$2:A478, A478)=1, 1, 0)</f>
        <v>0</v>
      </c>
      <c r="G478">
        <f>IF(AND(C478="Внутри сети", COUNTIFS($A$2:A478, A478, $C$2:C478, "Внутри сети")=1), 1, 0)</f>
        <v>0</v>
      </c>
      <c r="H478">
        <f>IF(AND(B478=6, COUNTIFS($A$2:A478, A478, $B$2:B478, 6)=1), 1, 0)</f>
        <v>0</v>
      </c>
      <c r="I478">
        <f>IF(AND(B478=2, COUNTIFS($A$2:A478, A478, $B$2:B478, 2)=1), 1, 0)</f>
        <v>0</v>
      </c>
    </row>
    <row r="479" spans="1:9">
      <c r="A479" s="22">
        <v>77010000195</v>
      </c>
      <c r="B479" s="22">
        <v>5</v>
      </c>
      <c r="C479" s="23" t="s">
        <v>0</v>
      </c>
      <c r="D479" s="22">
        <v>1.7</v>
      </c>
      <c r="E479" s="39">
        <v>4</v>
      </c>
      <c r="F479">
        <f>IF(COUNTIF($A$2:A479, A479)=1, 1, 0)</f>
        <v>0</v>
      </c>
      <c r="G479">
        <f>IF(AND(C479="Внутри сети", COUNTIFS($A$2:A479, A479, $C$2:C479, "Внутри сети")=1), 1, 0)</f>
        <v>0</v>
      </c>
      <c r="H479">
        <f>IF(AND(B479=6, COUNTIFS($A$2:A479, A479, $B$2:B479, 6)=1), 1, 0)</f>
        <v>0</v>
      </c>
      <c r="I479">
        <f>IF(AND(B479=2, COUNTIFS($A$2:A479, A479, $B$2:B479, 2)=1), 1, 0)</f>
        <v>0</v>
      </c>
    </row>
    <row r="480" spans="1:9">
      <c r="A480" s="22">
        <v>77010000168</v>
      </c>
      <c r="B480" s="22">
        <v>5</v>
      </c>
      <c r="C480" s="23" t="s">
        <v>0</v>
      </c>
      <c r="D480" s="22">
        <v>1.28</v>
      </c>
      <c r="E480" s="39">
        <v>3</v>
      </c>
      <c r="F480">
        <f>IF(COUNTIF($A$2:A480, A480)=1, 1, 0)</f>
        <v>1</v>
      </c>
      <c r="G480">
        <f>IF(AND(C480="Внутри сети", COUNTIFS($A$2:A480, A480, $C$2:C480, "Внутри сети")=1), 1, 0)</f>
        <v>1</v>
      </c>
      <c r="H480">
        <f>IF(AND(B480=6, COUNTIFS($A$2:A480, A480, $B$2:B480, 6)=1), 1, 0)</f>
        <v>0</v>
      </c>
      <c r="I480">
        <f>IF(AND(B480=2, COUNTIFS($A$2:A480, A480, $B$2:B480, 2)=1), 1, 0)</f>
        <v>0</v>
      </c>
    </row>
    <row r="481" spans="1:9">
      <c r="A481" s="22">
        <v>77010000171</v>
      </c>
      <c r="B481" s="22">
        <v>5</v>
      </c>
      <c r="C481" s="23" t="s">
        <v>0</v>
      </c>
      <c r="D481" s="22">
        <v>1.28</v>
      </c>
      <c r="E481" s="39">
        <v>3</v>
      </c>
      <c r="F481">
        <f>IF(COUNTIF($A$2:A481, A481)=1, 1, 0)</f>
        <v>0</v>
      </c>
      <c r="G481">
        <f>IF(AND(C481="Внутри сети", COUNTIFS($A$2:A481, A481, $C$2:C481, "Внутри сети")=1), 1, 0)</f>
        <v>0</v>
      </c>
      <c r="H481">
        <f>IF(AND(B481=6, COUNTIFS($A$2:A481, A481, $B$2:B481, 6)=1), 1, 0)</f>
        <v>0</v>
      </c>
      <c r="I481">
        <f>IF(AND(B481=2, COUNTIFS($A$2:A481, A481, $B$2:B481, 2)=1), 1, 0)</f>
        <v>0</v>
      </c>
    </row>
    <row r="482" spans="1:9">
      <c r="A482" s="22">
        <v>77010000185</v>
      </c>
      <c r="B482" s="22">
        <v>5</v>
      </c>
      <c r="C482" s="23" t="s">
        <v>0</v>
      </c>
      <c r="D482" s="22">
        <v>1.28</v>
      </c>
      <c r="E482" s="39">
        <v>3</v>
      </c>
      <c r="F482">
        <f>IF(COUNTIF($A$2:A482, A482)=1, 1, 0)</f>
        <v>0</v>
      </c>
      <c r="G482">
        <f>IF(AND(C482="Внутри сети", COUNTIFS($A$2:A482, A482, $C$2:C482, "Внутри сети")=1), 1, 0)</f>
        <v>0</v>
      </c>
      <c r="H482">
        <f>IF(AND(B482=6, COUNTIFS($A$2:A482, A482, $B$2:B482, 6)=1), 1, 0)</f>
        <v>0</v>
      </c>
      <c r="I482">
        <f>IF(AND(B482=2, COUNTIFS($A$2:A482, A482, $B$2:B482, 2)=1), 1, 0)</f>
        <v>0</v>
      </c>
    </row>
    <row r="483" spans="1:9">
      <c r="A483" s="22">
        <v>77010000199</v>
      </c>
      <c r="B483" s="22">
        <v>5</v>
      </c>
      <c r="C483" s="23" t="s">
        <v>0</v>
      </c>
      <c r="D483" s="22">
        <v>1.28</v>
      </c>
      <c r="E483" s="39">
        <v>3</v>
      </c>
      <c r="F483">
        <f>IF(COUNTIF($A$2:A483, A483)=1, 1, 0)</f>
        <v>1</v>
      </c>
      <c r="G483">
        <f>IF(AND(C483="Внутри сети", COUNTIFS($A$2:A483, A483, $C$2:C483, "Внутри сети")=1), 1, 0)</f>
        <v>1</v>
      </c>
      <c r="H483">
        <f>IF(AND(B483=6, COUNTIFS($A$2:A483, A483, $B$2:B483, 6)=1), 1, 0)</f>
        <v>0</v>
      </c>
      <c r="I483">
        <f>IF(AND(B483=2, COUNTIFS($A$2:A483, A483, $B$2:B483, 2)=1), 1, 0)</f>
        <v>0</v>
      </c>
    </row>
    <row r="484" spans="1:9">
      <c r="A484" s="22">
        <v>77010000223</v>
      </c>
      <c r="B484" s="22">
        <v>5</v>
      </c>
      <c r="C484" s="23" t="s">
        <v>0</v>
      </c>
      <c r="D484" s="22">
        <v>1.28</v>
      </c>
      <c r="E484" s="39">
        <v>3</v>
      </c>
      <c r="F484">
        <f>IF(COUNTIF($A$2:A484, A484)=1, 1, 0)</f>
        <v>1</v>
      </c>
      <c r="G484">
        <f>IF(AND(C484="Внутри сети", COUNTIFS($A$2:A484, A484, $C$2:C484, "Внутри сети")=1), 1, 0)</f>
        <v>1</v>
      </c>
      <c r="H484">
        <f>IF(AND(B484=6, COUNTIFS($A$2:A484, A484, $B$2:B484, 6)=1), 1, 0)</f>
        <v>0</v>
      </c>
      <c r="I484">
        <f>IF(AND(B484=2, COUNTIFS($A$2:A484, A484, $B$2:B484, 2)=1), 1, 0)</f>
        <v>0</v>
      </c>
    </row>
    <row r="485" spans="1:9">
      <c r="A485" s="22">
        <v>77010000234</v>
      </c>
      <c r="B485" s="22">
        <v>5</v>
      </c>
      <c r="C485" s="23" t="s">
        <v>0</v>
      </c>
      <c r="D485" s="22">
        <v>0</v>
      </c>
      <c r="E485" s="39">
        <v>3</v>
      </c>
      <c r="F485">
        <f>IF(COUNTIF($A$2:A485, A485)=1, 1, 0)</f>
        <v>0</v>
      </c>
      <c r="G485">
        <f>IF(AND(C485="Внутри сети", COUNTIFS($A$2:A485, A485, $C$2:C485, "Внутри сети")=1), 1, 0)</f>
        <v>0</v>
      </c>
      <c r="H485">
        <f>IF(AND(B485=6, COUNTIFS($A$2:A485, A485, $B$2:B485, 6)=1), 1, 0)</f>
        <v>0</v>
      </c>
      <c r="I485">
        <f>IF(AND(B485=2, COUNTIFS($A$2:A485, A485, $B$2:B485, 2)=1), 1, 0)</f>
        <v>0</v>
      </c>
    </row>
    <row r="486" spans="1:9">
      <c r="A486" s="22">
        <v>77010000165</v>
      </c>
      <c r="B486" s="22">
        <v>5</v>
      </c>
      <c r="C486" s="23" t="s">
        <v>0</v>
      </c>
      <c r="D486" s="22">
        <v>0.85</v>
      </c>
      <c r="E486" s="39">
        <v>2</v>
      </c>
      <c r="F486">
        <f>IF(COUNTIF($A$2:A486, A486)=1, 1, 0)</f>
        <v>1</v>
      </c>
      <c r="G486">
        <f>IF(AND(C486="Внутри сети", COUNTIFS($A$2:A486, A486, $C$2:C486, "Внутри сети")=1), 1, 0)</f>
        <v>1</v>
      </c>
      <c r="H486">
        <f>IF(AND(B486=6, COUNTIFS($A$2:A486, A486, $B$2:B486, 6)=1), 1, 0)</f>
        <v>0</v>
      </c>
      <c r="I486">
        <f>IF(AND(B486=2, COUNTIFS($A$2:A486, A486, $B$2:B486, 2)=1), 1, 0)</f>
        <v>0</v>
      </c>
    </row>
    <row r="487" spans="1:9">
      <c r="A487" s="22">
        <v>77010000163</v>
      </c>
      <c r="B487" s="22">
        <v>5</v>
      </c>
      <c r="C487" s="23" t="s">
        <v>2</v>
      </c>
      <c r="D487" s="22">
        <v>7.43</v>
      </c>
      <c r="E487" s="39">
        <v>2</v>
      </c>
      <c r="F487">
        <f>IF(COUNTIF($A$2:A487, A487)=1, 1, 0)</f>
        <v>0</v>
      </c>
      <c r="G487">
        <f>IF(AND(C487="Внутри сети", COUNTIFS($A$2:A487, A487, $C$2:C487, "Внутри сети")=1), 1, 0)</f>
        <v>0</v>
      </c>
      <c r="H487">
        <f>IF(AND(B487=6, COUNTIFS($A$2:A487, A487, $B$2:B487, 6)=1), 1, 0)</f>
        <v>0</v>
      </c>
      <c r="I487">
        <f>IF(AND(B487=2, COUNTIFS($A$2:A487, A487, $B$2:B487, 2)=1), 1, 0)</f>
        <v>0</v>
      </c>
    </row>
    <row r="488" spans="1:9">
      <c r="A488" s="22">
        <v>77010000173</v>
      </c>
      <c r="B488" s="22">
        <v>5</v>
      </c>
      <c r="C488" s="23" t="s">
        <v>0</v>
      </c>
      <c r="D488" s="22">
        <v>0.85</v>
      </c>
      <c r="E488" s="39">
        <v>2</v>
      </c>
      <c r="F488">
        <f>IF(COUNTIF($A$2:A488, A488)=1, 1, 0)</f>
        <v>0</v>
      </c>
      <c r="G488">
        <f>IF(AND(C488="Внутри сети", COUNTIFS($A$2:A488, A488, $C$2:C488, "Внутри сети")=1), 1, 0)</f>
        <v>0</v>
      </c>
      <c r="H488">
        <f>IF(AND(B488=6, COUNTIFS($A$2:A488, A488, $B$2:B488, 6)=1), 1, 0)</f>
        <v>0</v>
      </c>
      <c r="I488">
        <f>IF(AND(B488=2, COUNTIFS($A$2:A488, A488, $B$2:B488, 2)=1), 1, 0)</f>
        <v>0</v>
      </c>
    </row>
    <row r="489" spans="1:9">
      <c r="A489" s="22">
        <v>77010000177</v>
      </c>
      <c r="B489" s="22">
        <v>5</v>
      </c>
      <c r="C489" s="23" t="s">
        <v>0</v>
      </c>
      <c r="D489" s="22">
        <v>0.85</v>
      </c>
      <c r="E489" s="39">
        <v>2</v>
      </c>
      <c r="F489">
        <f>IF(COUNTIF($A$2:A489, A489)=1, 1, 0)</f>
        <v>0</v>
      </c>
      <c r="G489">
        <f>IF(AND(C489="Внутри сети", COUNTIFS($A$2:A489, A489, $C$2:C489, "Внутри сети")=1), 1, 0)</f>
        <v>0</v>
      </c>
      <c r="H489">
        <f>IF(AND(B489=6, COUNTIFS($A$2:A489, A489, $B$2:B489, 6)=1), 1, 0)</f>
        <v>0</v>
      </c>
      <c r="I489">
        <f>IF(AND(B489=2, COUNTIFS($A$2:A489, A489, $B$2:B489, 2)=1), 1, 0)</f>
        <v>0</v>
      </c>
    </row>
    <row r="490" spans="1:9">
      <c r="A490" s="22">
        <v>77010000186</v>
      </c>
      <c r="B490" s="22">
        <v>5</v>
      </c>
      <c r="C490" s="23" t="s">
        <v>0</v>
      </c>
      <c r="D490" s="22">
        <v>0.85</v>
      </c>
      <c r="E490" s="39">
        <v>2</v>
      </c>
      <c r="F490">
        <f>IF(COUNTIF($A$2:A490, A490)=1, 1, 0)</f>
        <v>0</v>
      </c>
      <c r="G490">
        <f>IF(AND(C490="Внутри сети", COUNTIFS($A$2:A490, A490, $C$2:C490, "Внутри сети")=1), 1, 0)</f>
        <v>0</v>
      </c>
      <c r="H490">
        <f>IF(AND(B490=6, COUNTIFS($A$2:A490, A490, $B$2:B490, 6)=1), 1, 0)</f>
        <v>0</v>
      </c>
      <c r="I490">
        <f>IF(AND(B490=2, COUNTIFS($A$2:A490, A490, $B$2:B490, 2)=1), 1, 0)</f>
        <v>0</v>
      </c>
    </row>
    <row r="491" spans="1:9">
      <c r="A491" s="22">
        <v>77010000189</v>
      </c>
      <c r="B491" s="22">
        <v>5</v>
      </c>
      <c r="C491" s="23" t="s">
        <v>0</v>
      </c>
      <c r="D491" s="22">
        <v>0.85</v>
      </c>
      <c r="E491" s="39">
        <v>2</v>
      </c>
      <c r="F491">
        <f>IF(COUNTIF($A$2:A491, A491)=1, 1, 0)</f>
        <v>0</v>
      </c>
      <c r="G491">
        <f>IF(AND(C491="Внутри сети", COUNTIFS($A$2:A491, A491, $C$2:C491, "Внутри сети")=1), 1, 0)</f>
        <v>0</v>
      </c>
      <c r="H491">
        <f>IF(AND(B491=6, COUNTIFS($A$2:A491, A491, $B$2:B491, 6)=1), 1, 0)</f>
        <v>0</v>
      </c>
      <c r="I491">
        <f>IF(AND(B491=2, COUNTIFS($A$2:A491, A491, $B$2:B491, 2)=1), 1, 0)</f>
        <v>0</v>
      </c>
    </row>
    <row r="492" spans="1:9">
      <c r="A492" s="22">
        <v>77010000187</v>
      </c>
      <c r="B492" s="22">
        <v>5</v>
      </c>
      <c r="C492" s="23" t="s">
        <v>0</v>
      </c>
      <c r="D492" s="22">
        <v>0.85</v>
      </c>
      <c r="E492" s="39">
        <v>2</v>
      </c>
      <c r="F492">
        <f>IF(COUNTIF($A$2:A492, A492)=1, 1, 0)</f>
        <v>0</v>
      </c>
      <c r="G492">
        <f>IF(AND(C492="Внутри сети", COUNTIFS($A$2:A492, A492, $C$2:C492, "Внутри сети")=1), 1, 0)</f>
        <v>0</v>
      </c>
      <c r="H492">
        <f>IF(AND(B492=6, COUNTIFS($A$2:A492, A492, $B$2:B492, 6)=1), 1, 0)</f>
        <v>0</v>
      </c>
      <c r="I492">
        <f>IF(AND(B492=2, COUNTIFS($A$2:A492, A492, $B$2:B492, 2)=1), 1, 0)</f>
        <v>0</v>
      </c>
    </row>
    <row r="493" spans="1:9">
      <c r="A493" s="22">
        <v>77010000192</v>
      </c>
      <c r="B493" s="22">
        <v>5</v>
      </c>
      <c r="C493" s="23" t="s">
        <v>0</v>
      </c>
      <c r="D493" s="22">
        <v>0.85</v>
      </c>
      <c r="E493" s="39">
        <v>2</v>
      </c>
      <c r="F493">
        <f>IF(COUNTIF($A$2:A493, A493)=1, 1, 0)</f>
        <v>0</v>
      </c>
      <c r="G493">
        <f>IF(AND(C493="Внутри сети", COUNTIFS($A$2:A493, A493, $C$2:C493, "Внутри сети")=1), 1, 0)</f>
        <v>0</v>
      </c>
      <c r="H493">
        <f>IF(AND(B493=6, COUNTIFS($A$2:A493, A493, $B$2:B493, 6)=1), 1, 0)</f>
        <v>0</v>
      </c>
      <c r="I493">
        <f>IF(AND(B493=2, COUNTIFS($A$2:A493, A493, $B$2:B493, 2)=1), 1, 0)</f>
        <v>0</v>
      </c>
    </row>
    <row r="494" spans="1:9">
      <c r="A494" s="22">
        <v>77010000237</v>
      </c>
      <c r="B494" s="22">
        <v>5</v>
      </c>
      <c r="C494" s="23" t="s">
        <v>0</v>
      </c>
      <c r="D494" s="22">
        <v>0.85</v>
      </c>
      <c r="E494" s="39">
        <v>2</v>
      </c>
      <c r="F494">
        <f>IF(COUNTIF($A$2:A494, A494)=1, 1, 0)</f>
        <v>0</v>
      </c>
      <c r="G494">
        <f>IF(AND(C494="Внутри сети", COUNTIFS($A$2:A494, A494, $C$2:C494, "Внутри сети")=1), 1, 0)</f>
        <v>0</v>
      </c>
      <c r="H494">
        <f>IF(AND(B494=6, COUNTIFS($A$2:A494, A494, $B$2:B494, 6)=1), 1, 0)</f>
        <v>0</v>
      </c>
      <c r="I494">
        <f>IF(AND(B494=2, COUNTIFS($A$2:A494, A494, $B$2:B494, 2)=1), 1, 0)</f>
        <v>0</v>
      </c>
    </row>
    <row r="495" spans="1:9">
      <c r="A495" s="22">
        <v>77010000237</v>
      </c>
      <c r="B495" s="22">
        <v>5</v>
      </c>
      <c r="C495" s="23" t="s">
        <v>0</v>
      </c>
      <c r="D495" s="22">
        <v>0.85</v>
      </c>
      <c r="E495" s="39">
        <v>2</v>
      </c>
      <c r="F495">
        <f>IF(COUNTIF($A$2:A495, A495)=1, 1, 0)</f>
        <v>0</v>
      </c>
      <c r="G495">
        <f>IF(AND(C495="Внутри сети", COUNTIFS($A$2:A495, A495, $C$2:C495, "Внутри сети")=1), 1, 0)</f>
        <v>0</v>
      </c>
      <c r="H495">
        <f>IF(AND(B495=6, COUNTIFS($A$2:A495, A495, $B$2:B495, 6)=1), 1, 0)</f>
        <v>0</v>
      </c>
      <c r="I495">
        <f>IF(AND(B495=2, COUNTIFS($A$2:A495, A495, $B$2:B495, 2)=1), 1, 0)</f>
        <v>0</v>
      </c>
    </row>
    <row r="496" spans="1:9">
      <c r="A496" s="22">
        <v>77010000162</v>
      </c>
      <c r="B496" s="22">
        <v>5</v>
      </c>
      <c r="C496" s="23" t="s">
        <v>0</v>
      </c>
      <c r="D496" s="22">
        <v>0.43</v>
      </c>
      <c r="E496" s="39">
        <v>1</v>
      </c>
      <c r="F496">
        <f>IF(COUNTIF($A$2:A496, A496)=1, 1, 0)</f>
        <v>0</v>
      </c>
      <c r="G496">
        <f>IF(AND(C496="Внутри сети", COUNTIFS($A$2:A496, A496, $C$2:C496, "Внутри сети")=1), 1, 0)</f>
        <v>0</v>
      </c>
      <c r="H496">
        <f>IF(AND(B496=6, COUNTIFS($A$2:A496, A496, $B$2:B496, 6)=1), 1, 0)</f>
        <v>0</v>
      </c>
      <c r="I496">
        <f>IF(AND(B496=2, COUNTIFS($A$2:A496, A496, $B$2:B496, 2)=1), 1, 0)</f>
        <v>0</v>
      </c>
    </row>
    <row r="497" spans="1:9">
      <c r="A497" s="22">
        <v>77010000165</v>
      </c>
      <c r="B497" s="22">
        <v>5</v>
      </c>
      <c r="C497" s="23" t="s">
        <v>0</v>
      </c>
      <c r="D497" s="22">
        <v>0.43</v>
      </c>
      <c r="E497" s="39">
        <v>1</v>
      </c>
      <c r="F497">
        <f>IF(COUNTIF($A$2:A497, A497)=1, 1, 0)</f>
        <v>0</v>
      </c>
      <c r="G497">
        <f>IF(AND(C497="Внутри сети", COUNTIFS($A$2:A497, A497, $C$2:C497, "Внутри сети")=1), 1, 0)</f>
        <v>0</v>
      </c>
      <c r="H497">
        <f>IF(AND(B497=6, COUNTIFS($A$2:A497, A497, $B$2:B497, 6)=1), 1, 0)</f>
        <v>0</v>
      </c>
      <c r="I497">
        <f>IF(AND(B497=2, COUNTIFS($A$2:A497, A497, $B$2:B497, 2)=1), 1, 0)</f>
        <v>0</v>
      </c>
    </row>
    <row r="498" spans="1:9">
      <c r="A498" s="22">
        <v>77010000166</v>
      </c>
      <c r="B498" s="22">
        <v>5</v>
      </c>
      <c r="C498" s="23" t="s">
        <v>1</v>
      </c>
      <c r="D498" s="22">
        <v>7.43</v>
      </c>
      <c r="E498" s="39">
        <v>1</v>
      </c>
      <c r="F498">
        <f>IF(COUNTIF($A$2:A498, A498)=1, 1, 0)</f>
        <v>0</v>
      </c>
      <c r="G498">
        <f>IF(AND(C498="Внутри сети", COUNTIFS($A$2:A498, A498, $C$2:C498, "Внутри сети")=1), 1, 0)</f>
        <v>0</v>
      </c>
      <c r="H498">
        <f>IF(AND(B498=6, COUNTIFS($A$2:A498, A498, $B$2:B498, 6)=1), 1, 0)</f>
        <v>0</v>
      </c>
      <c r="I498">
        <f>IF(AND(B498=2, COUNTIFS($A$2:A498, A498, $B$2:B498, 2)=1), 1, 0)</f>
        <v>0</v>
      </c>
    </row>
    <row r="499" spans="1:9">
      <c r="A499" s="22">
        <v>77010000170</v>
      </c>
      <c r="B499" s="22">
        <v>5</v>
      </c>
      <c r="C499" s="23" t="s">
        <v>0</v>
      </c>
      <c r="D499" s="22">
        <v>0.43</v>
      </c>
      <c r="E499" s="39">
        <v>1</v>
      </c>
      <c r="F499">
        <f>IF(COUNTIF($A$2:A499, A499)=1, 1, 0)</f>
        <v>0</v>
      </c>
      <c r="G499">
        <f>IF(AND(C499="Внутри сети", COUNTIFS($A$2:A499, A499, $C$2:C499, "Внутри сети")=1), 1, 0)</f>
        <v>0</v>
      </c>
      <c r="H499">
        <f>IF(AND(B499=6, COUNTIFS($A$2:A499, A499, $B$2:B499, 6)=1), 1, 0)</f>
        <v>0</v>
      </c>
      <c r="I499">
        <f>IF(AND(B499=2, COUNTIFS($A$2:A499, A499, $B$2:B499, 2)=1), 1, 0)</f>
        <v>0</v>
      </c>
    </row>
    <row r="500" spans="1:9">
      <c r="A500" s="22">
        <v>77010000175</v>
      </c>
      <c r="B500" s="22">
        <v>5</v>
      </c>
      <c r="C500" s="23" t="s">
        <v>0</v>
      </c>
      <c r="D500" s="22">
        <v>0.43</v>
      </c>
      <c r="E500" s="39">
        <v>1</v>
      </c>
      <c r="F500">
        <f>IF(COUNTIF($A$2:A500, A500)=1, 1, 0)</f>
        <v>0</v>
      </c>
      <c r="G500">
        <f>IF(AND(C500="Внутри сети", COUNTIFS($A$2:A500, A500, $C$2:C500, "Внутри сети")=1), 1, 0)</f>
        <v>1</v>
      </c>
      <c r="H500">
        <f>IF(AND(B500=6, COUNTIFS($A$2:A500, A500, $B$2:B500, 6)=1), 1, 0)</f>
        <v>0</v>
      </c>
      <c r="I500">
        <f>IF(AND(B500=2, COUNTIFS($A$2:A500, A500, $B$2:B500, 2)=1), 1, 0)</f>
        <v>0</v>
      </c>
    </row>
    <row r="501" spans="1:9">
      <c r="A501" s="22">
        <v>77010000182</v>
      </c>
      <c r="B501" s="22">
        <v>5</v>
      </c>
      <c r="C501" s="23" t="s">
        <v>0</v>
      </c>
      <c r="D501" s="22">
        <v>0.43</v>
      </c>
      <c r="E501" s="39">
        <v>1</v>
      </c>
      <c r="F501">
        <f>IF(COUNTIF($A$2:A501, A501)=1, 1, 0)</f>
        <v>0</v>
      </c>
      <c r="G501">
        <f>IF(AND(C501="Внутри сети", COUNTIFS($A$2:A501, A501, $C$2:C501, "Внутри сети")=1), 1, 0)</f>
        <v>0</v>
      </c>
      <c r="H501">
        <f>IF(AND(B501=6, COUNTIFS($A$2:A501, A501, $B$2:B501, 6)=1), 1, 0)</f>
        <v>0</v>
      </c>
      <c r="I501">
        <f>IF(AND(B501=2, COUNTIFS($A$2:A501, A501, $B$2:B501, 2)=1), 1, 0)</f>
        <v>0</v>
      </c>
    </row>
    <row r="502" spans="1:9">
      <c r="A502" s="22">
        <v>77010000187</v>
      </c>
      <c r="B502" s="22">
        <v>5</v>
      </c>
      <c r="C502" s="23" t="s">
        <v>0</v>
      </c>
      <c r="D502" s="22">
        <v>0.43</v>
      </c>
      <c r="E502" s="39">
        <v>1</v>
      </c>
      <c r="F502">
        <f>IF(COUNTIF($A$2:A502, A502)=1, 1, 0)</f>
        <v>0</v>
      </c>
      <c r="G502">
        <f>IF(AND(C502="Внутри сети", COUNTIFS($A$2:A502, A502, $C$2:C502, "Внутри сети")=1), 1, 0)</f>
        <v>0</v>
      </c>
      <c r="H502">
        <f>IF(AND(B502=6, COUNTIFS($A$2:A502, A502, $B$2:B502, 6)=1), 1, 0)</f>
        <v>0</v>
      </c>
      <c r="I502">
        <f>IF(AND(B502=2, COUNTIFS($A$2:A502, A502, $B$2:B502, 2)=1), 1, 0)</f>
        <v>0</v>
      </c>
    </row>
    <row r="503" spans="1:9">
      <c r="A503" s="22">
        <v>77010000193</v>
      </c>
      <c r="B503" s="22">
        <v>5</v>
      </c>
      <c r="C503" s="23" t="s">
        <v>0</v>
      </c>
      <c r="D503" s="22">
        <v>0.43</v>
      </c>
      <c r="E503" s="39">
        <v>1</v>
      </c>
      <c r="F503">
        <f>IF(COUNTIF($A$2:A503, A503)=1, 1, 0)</f>
        <v>0</v>
      </c>
      <c r="G503">
        <f>IF(AND(C503="Внутри сети", COUNTIFS($A$2:A503, A503, $C$2:C503, "Внутри сети")=1), 1, 0)</f>
        <v>0</v>
      </c>
      <c r="H503">
        <f>IF(AND(B503=6, COUNTIFS($A$2:A503, A503, $B$2:B503, 6)=1), 1, 0)</f>
        <v>0</v>
      </c>
      <c r="I503">
        <f>IF(AND(B503=2, COUNTIFS($A$2:A503, A503, $B$2:B503, 2)=1), 1, 0)</f>
        <v>0</v>
      </c>
    </row>
    <row r="504" spans="1:9">
      <c r="A504" s="22">
        <v>77010000195</v>
      </c>
      <c r="B504" s="22">
        <v>5</v>
      </c>
      <c r="C504" s="23" t="s">
        <v>0</v>
      </c>
      <c r="D504" s="22">
        <v>0.43</v>
      </c>
      <c r="E504" s="39">
        <v>1</v>
      </c>
      <c r="F504">
        <f>IF(COUNTIF($A$2:A504, A504)=1, 1, 0)</f>
        <v>0</v>
      </c>
      <c r="G504">
        <f>IF(AND(C504="Внутри сети", COUNTIFS($A$2:A504, A504, $C$2:C504, "Внутри сети")=1), 1, 0)</f>
        <v>0</v>
      </c>
      <c r="H504">
        <f>IF(AND(B504=6, COUNTIFS($A$2:A504, A504, $B$2:B504, 6)=1), 1, 0)</f>
        <v>0</v>
      </c>
      <c r="I504">
        <f>IF(AND(B504=2, COUNTIFS($A$2:A504, A504, $B$2:B504, 2)=1), 1, 0)</f>
        <v>0</v>
      </c>
    </row>
    <row r="505" spans="1:9">
      <c r="A505" s="22">
        <v>77010000198</v>
      </c>
      <c r="B505" s="22">
        <v>5</v>
      </c>
      <c r="C505" s="23" t="s">
        <v>0</v>
      </c>
      <c r="D505" s="22">
        <v>0.43</v>
      </c>
      <c r="E505" s="39">
        <v>1</v>
      </c>
      <c r="F505">
        <f>IF(COUNTIF($A$2:A505, A505)=1, 1, 0)</f>
        <v>1</v>
      </c>
      <c r="G505">
        <f>IF(AND(C505="Внутри сети", COUNTIFS($A$2:A505, A505, $C$2:C505, "Внутри сети")=1), 1, 0)</f>
        <v>1</v>
      </c>
      <c r="H505">
        <f>IF(AND(B505=6, COUNTIFS($A$2:A505, A505, $B$2:B505, 6)=1), 1, 0)</f>
        <v>0</v>
      </c>
      <c r="I505">
        <f>IF(AND(B505=2, COUNTIFS($A$2:A505, A505, $B$2:B505, 2)=1), 1, 0)</f>
        <v>0</v>
      </c>
    </row>
    <row r="506" spans="1:9">
      <c r="A506" s="22">
        <v>77010000171</v>
      </c>
      <c r="B506" s="22">
        <v>5</v>
      </c>
      <c r="C506" s="23" t="s">
        <v>0</v>
      </c>
      <c r="D506" s="22">
        <v>0</v>
      </c>
      <c r="E506" s="39">
        <v>1</v>
      </c>
      <c r="F506">
        <f>IF(COUNTIF($A$2:A506, A506)=1, 1, 0)</f>
        <v>0</v>
      </c>
      <c r="G506">
        <f>IF(AND(C506="Внутри сети", COUNTIFS($A$2:A506, A506, $C$2:C506, "Внутри сети")=1), 1, 0)</f>
        <v>0</v>
      </c>
      <c r="H506">
        <f>IF(AND(B506=6, COUNTIFS($A$2:A506, A506, $B$2:B506, 6)=1), 1, 0)</f>
        <v>0</v>
      </c>
      <c r="I506">
        <f>IF(AND(B506=2, COUNTIFS($A$2:A506, A506, $B$2:B506, 2)=1), 1, 0)</f>
        <v>0</v>
      </c>
    </row>
    <row r="507" spans="1:9">
      <c r="A507" s="22">
        <v>77010000173</v>
      </c>
      <c r="B507" s="22">
        <v>5</v>
      </c>
      <c r="C507" s="23" t="s">
        <v>0</v>
      </c>
      <c r="D507" s="22">
        <v>0.43</v>
      </c>
      <c r="E507" s="39">
        <v>1</v>
      </c>
      <c r="F507">
        <f>IF(COUNTIF($A$2:A507, A507)=1, 1, 0)</f>
        <v>0</v>
      </c>
      <c r="G507">
        <f>IF(AND(C507="Внутри сети", COUNTIFS($A$2:A507, A507, $C$2:C507, "Внутри сети")=1), 1, 0)</f>
        <v>0</v>
      </c>
      <c r="H507">
        <f>IF(AND(B507=6, COUNTIFS($A$2:A507, A507, $B$2:B507, 6)=1), 1, 0)</f>
        <v>0</v>
      </c>
      <c r="I507">
        <f>IF(AND(B507=2, COUNTIFS($A$2:A507, A507, $B$2:B507, 2)=1), 1, 0)</f>
        <v>0</v>
      </c>
    </row>
    <row r="508" spans="1:9">
      <c r="A508" s="22">
        <v>77010000185</v>
      </c>
      <c r="B508" s="22">
        <v>5</v>
      </c>
      <c r="C508" s="23" t="s">
        <v>0</v>
      </c>
      <c r="D508" s="22">
        <v>0.43</v>
      </c>
      <c r="E508" s="39">
        <v>1</v>
      </c>
      <c r="F508">
        <f>IF(COUNTIF($A$2:A508, A508)=1, 1, 0)</f>
        <v>0</v>
      </c>
      <c r="G508">
        <f>IF(AND(C508="Внутри сети", COUNTIFS($A$2:A508, A508, $C$2:C508, "Внутри сети")=1), 1, 0)</f>
        <v>0</v>
      </c>
      <c r="H508">
        <f>IF(AND(B508=6, COUNTIFS($A$2:A508, A508, $B$2:B508, 6)=1), 1, 0)</f>
        <v>0</v>
      </c>
      <c r="I508">
        <f>IF(AND(B508=2, COUNTIFS($A$2:A508, A508, $B$2:B508, 2)=1), 1, 0)</f>
        <v>0</v>
      </c>
    </row>
    <row r="509" spans="1:9">
      <c r="A509" s="22">
        <v>77010000193</v>
      </c>
      <c r="B509" s="22">
        <v>5</v>
      </c>
      <c r="C509" s="23" t="s">
        <v>1</v>
      </c>
      <c r="D509" s="22">
        <v>7.43</v>
      </c>
      <c r="E509" s="39">
        <v>1</v>
      </c>
      <c r="F509">
        <f>IF(COUNTIF($A$2:A509, A509)=1, 1, 0)</f>
        <v>0</v>
      </c>
      <c r="G509">
        <f>IF(AND(C509="Внутри сети", COUNTIFS($A$2:A509, A509, $C$2:C509, "Внутри сети")=1), 1, 0)</f>
        <v>0</v>
      </c>
      <c r="H509">
        <f>IF(AND(B509=6, COUNTIFS($A$2:A509, A509, $B$2:B509, 6)=1), 1, 0)</f>
        <v>0</v>
      </c>
      <c r="I509">
        <f>IF(AND(B509=2, COUNTIFS($A$2:A509, A509, $B$2:B509, 2)=1), 1, 0)</f>
        <v>0</v>
      </c>
    </row>
    <row r="510" spans="1:9">
      <c r="A510" s="22">
        <v>77010000205</v>
      </c>
      <c r="B510" s="22">
        <v>5</v>
      </c>
      <c r="C510" s="23" t="s">
        <v>0</v>
      </c>
      <c r="D510" s="22">
        <v>0.43</v>
      </c>
      <c r="E510" s="39">
        <v>1</v>
      </c>
      <c r="F510">
        <f>IF(COUNTIF($A$2:A510, A510)=1, 1, 0)</f>
        <v>0</v>
      </c>
      <c r="G510">
        <f>IF(AND(C510="Внутри сети", COUNTIFS($A$2:A510, A510, $C$2:C510, "Внутри сети")=1), 1, 0)</f>
        <v>0</v>
      </c>
      <c r="H510">
        <f>IF(AND(B510=6, COUNTIFS($A$2:A510, A510, $B$2:B510, 6)=1), 1, 0)</f>
        <v>0</v>
      </c>
      <c r="I510">
        <f>IF(AND(B510=2, COUNTIFS($A$2:A510, A510, $B$2:B510, 2)=1), 1, 0)</f>
        <v>0</v>
      </c>
    </row>
    <row r="511" spans="1:9">
      <c r="A511" s="22">
        <v>77010000192</v>
      </c>
      <c r="B511" s="22">
        <v>5</v>
      </c>
      <c r="C511" s="23" t="s">
        <v>0</v>
      </c>
      <c r="D511" s="22">
        <v>0.43</v>
      </c>
      <c r="E511" s="39">
        <v>1</v>
      </c>
      <c r="F511">
        <f>IF(COUNTIF($A$2:A511, A511)=1, 1, 0)</f>
        <v>0</v>
      </c>
      <c r="G511">
        <f>IF(AND(C511="Внутри сети", COUNTIFS($A$2:A511, A511, $C$2:C511, "Внутри сети")=1), 1, 0)</f>
        <v>0</v>
      </c>
      <c r="H511">
        <f>IF(AND(B511=6, COUNTIFS($A$2:A511, A511, $B$2:B511, 6)=1), 1, 0)</f>
        <v>0</v>
      </c>
      <c r="I511">
        <f>IF(AND(B511=2, COUNTIFS($A$2:A511, A511, $B$2:B511, 2)=1), 1, 0)</f>
        <v>0</v>
      </c>
    </row>
    <row r="512" spans="1:9">
      <c r="A512" s="22">
        <v>77010000224</v>
      </c>
      <c r="B512" s="22">
        <v>5</v>
      </c>
      <c r="C512" s="23" t="s">
        <v>0</v>
      </c>
      <c r="D512" s="22">
        <v>0.43</v>
      </c>
      <c r="E512" s="39">
        <v>1</v>
      </c>
      <c r="F512">
        <f>IF(COUNTIF($A$2:A512, A512)=1, 1, 0)</f>
        <v>1</v>
      </c>
      <c r="G512">
        <f>IF(AND(C512="Внутри сети", COUNTIFS($A$2:A512, A512, $C$2:C512, "Внутри сети")=1), 1, 0)</f>
        <v>1</v>
      </c>
      <c r="H512">
        <f>IF(AND(B512=6, COUNTIFS($A$2:A512, A512, $B$2:B512, 6)=1), 1, 0)</f>
        <v>0</v>
      </c>
      <c r="I512">
        <f>IF(AND(B512=2, COUNTIFS($A$2:A512, A512, $B$2:B512, 2)=1), 1, 0)</f>
        <v>0</v>
      </c>
    </row>
    <row r="513" spans="1:9">
      <c r="A513" s="22">
        <v>77010000227</v>
      </c>
      <c r="B513" s="22">
        <v>5</v>
      </c>
      <c r="C513" s="23" t="s">
        <v>0</v>
      </c>
      <c r="D513" s="22">
        <v>0.43</v>
      </c>
      <c r="E513" s="39">
        <v>1</v>
      </c>
      <c r="F513">
        <f>IF(COUNTIF($A$2:A513, A513)=1, 1, 0)</f>
        <v>1</v>
      </c>
      <c r="G513">
        <f>IF(AND(C513="Внутри сети", COUNTIFS($A$2:A513, A513, $C$2:C513, "Внутри сети")=1), 1, 0)</f>
        <v>1</v>
      </c>
      <c r="H513">
        <f>IF(AND(B513=6, COUNTIFS($A$2:A513, A513, $B$2:B513, 6)=1), 1, 0)</f>
        <v>0</v>
      </c>
      <c r="I513">
        <f>IF(AND(B513=2, COUNTIFS($A$2:A513, A513, $B$2:B513, 2)=1), 1, 0)</f>
        <v>0</v>
      </c>
    </row>
    <row r="514" spans="1:9">
      <c r="A514" s="22">
        <v>77010000209</v>
      </c>
      <c r="B514" s="22">
        <v>5</v>
      </c>
      <c r="C514" s="23" t="s">
        <v>0</v>
      </c>
      <c r="D514" s="22">
        <v>0.43</v>
      </c>
      <c r="E514" s="39">
        <v>1</v>
      </c>
      <c r="F514">
        <f>IF(COUNTIF($A$2:A514, A514)=1, 1, 0)</f>
        <v>0</v>
      </c>
      <c r="G514">
        <f>IF(AND(C514="Внутри сети", COUNTIFS($A$2:A514, A514, $C$2:C514, "Внутри сети")=1), 1, 0)</f>
        <v>0</v>
      </c>
      <c r="H514">
        <f>IF(AND(B514=6, COUNTIFS($A$2:A514, A514, $B$2:B514, 6)=1), 1, 0)</f>
        <v>0</v>
      </c>
      <c r="I514">
        <f>IF(AND(B514=2, COUNTIFS($A$2:A514, A514, $B$2:B514, 2)=1), 1, 0)</f>
        <v>0</v>
      </c>
    </row>
    <row r="515" spans="1:9">
      <c r="A515" s="22">
        <v>77010000216</v>
      </c>
      <c r="B515" s="22">
        <v>5</v>
      </c>
      <c r="C515" s="23" t="s">
        <v>0</v>
      </c>
      <c r="D515" s="22">
        <v>0.43</v>
      </c>
      <c r="E515" s="39">
        <v>1</v>
      </c>
      <c r="F515">
        <f>IF(COUNTIF($A$2:A515, A515)=1, 1, 0)</f>
        <v>1</v>
      </c>
      <c r="G515">
        <f>IF(AND(C515="Внутри сети", COUNTIFS($A$2:A515, A515, $C$2:C515, "Внутри сети")=1), 1, 0)</f>
        <v>1</v>
      </c>
      <c r="H515">
        <f>IF(AND(B515=6, COUNTIFS($A$2:A515, A515, $B$2:B515, 6)=1), 1, 0)</f>
        <v>0</v>
      </c>
      <c r="I515">
        <f>IF(AND(B515=2, COUNTIFS($A$2:A515, A515, $B$2:B515, 2)=1), 1, 0)</f>
        <v>0</v>
      </c>
    </row>
    <row r="516" spans="1:9">
      <c r="A516" s="22">
        <v>77010000236</v>
      </c>
      <c r="B516" s="22">
        <v>5</v>
      </c>
      <c r="C516" s="23" t="s">
        <v>0</v>
      </c>
      <c r="D516" s="22">
        <v>0.43</v>
      </c>
      <c r="E516" s="39">
        <v>1</v>
      </c>
      <c r="F516">
        <f>IF(COUNTIF($A$2:A516, A516)=1, 1, 0)</f>
        <v>0</v>
      </c>
      <c r="G516">
        <f>IF(AND(C516="Внутри сети", COUNTIFS($A$2:A516, A516, $C$2:C516, "Внутри сети")=1), 1, 0)</f>
        <v>0</v>
      </c>
      <c r="H516">
        <f>IF(AND(B516=6, COUNTIFS($A$2:A516, A516, $B$2:B516, 6)=1), 1, 0)</f>
        <v>0</v>
      </c>
      <c r="I516">
        <f>IF(AND(B516=2, COUNTIFS($A$2:A516, A516, $B$2:B516, 2)=1), 1, 0)</f>
        <v>0</v>
      </c>
    </row>
    <row r="517" spans="1:9">
      <c r="A517" s="22">
        <v>77010000235</v>
      </c>
      <c r="B517" s="22">
        <v>5</v>
      </c>
      <c r="C517" s="23" t="s">
        <v>0</v>
      </c>
      <c r="D517" s="22">
        <v>0.43</v>
      </c>
      <c r="E517" s="39">
        <v>1</v>
      </c>
      <c r="F517">
        <f>IF(COUNTIF($A$2:A517, A517)=1, 1, 0)</f>
        <v>0</v>
      </c>
      <c r="G517">
        <f>IF(AND(C517="Внутри сети", COUNTIFS($A$2:A517, A517, $C$2:C517, "Внутри сети")=1), 1, 0)</f>
        <v>0</v>
      </c>
      <c r="H517">
        <f>IF(AND(B517=6, COUNTIFS($A$2:A517, A517, $B$2:B517, 6)=1), 1, 0)</f>
        <v>0</v>
      </c>
      <c r="I517">
        <f>IF(AND(B517=2, COUNTIFS($A$2:A517, A517, $B$2:B517, 2)=1), 1, 0)</f>
        <v>0</v>
      </c>
    </row>
    <row r="518" spans="1:9">
      <c r="A518" s="22">
        <v>77010000174</v>
      </c>
      <c r="B518" s="22">
        <v>5</v>
      </c>
      <c r="C518" s="23" t="s">
        <v>0</v>
      </c>
      <c r="D518" s="22">
        <v>0</v>
      </c>
      <c r="E518" s="39">
        <v>0</v>
      </c>
      <c r="F518">
        <f>IF(COUNTIF($A$2:A518, A518)=1, 1, 0)</f>
        <v>1</v>
      </c>
      <c r="G518">
        <f>IF(AND(C518="Внутри сети", COUNTIFS($A$2:A518, A518, $C$2:C518, "Внутри сети")=1), 1, 0)</f>
        <v>1</v>
      </c>
      <c r="H518">
        <f>IF(AND(B518=6, COUNTIFS($A$2:A518, A518, $B$2:B518, 6)=1), 1, 0)</f>
        <v>0</v>
      </c>
      <c r="I518">
        <f>IF(AND(B518=2, COUNTIFS($A$2:A518, A518, $B$2:B518, 2)=1), 1, 0)</f>
        <v>0</v>
      </c>
    </row>
    <row r="519" spans="1:9">
      <c r="A519" s="22">
        <v>77010000181</v>
      </c>
      <c r="B519" s="22">
        <v>5</v>
      </c>
      <c r="C519" s="23" t="s">
        <v>0</v>
      </c>
      <c r="D519" s="22">
        <v>0</v>
      </c>
      <c r="E519" s="39">
        <v>0</v>
      </c>
      <c r="F519">
        <f>IF(COUNTIF($A$2:A519, A519)=1, 1, 0)</f>
        <v>0</v>
      </c>
      <c r="G519">
        <f>IF(AND(C519="Внутри сети", COUNTIFS($A$2:A519, A519, $C$2:C519, "Внутри сети")=1), 1, 0)</f>
        <v>0</v>
      </c>
      <c r="H519">
        <f>IF(AND(B519=6, COUNTIFS($A$2:A519, A519, $B$2:B519, 6)=1), 1, 0)</f>
        <v>0</v>
      </c>
      <c r="I519">
        <f>IF(AND(B519=2, COUNTIFS($A$2:A519, A519, $B$2:B519, 2)=1), 1, 0)</f>
        <v>0</v>
      </c>
    </row>
    <row r="520" spans="1:9">
      <c r="A520" s="22">
        <v>77010000262</v>
      </c>
      <c r="B520" s="22">
        <v>6</v>
      </c>
      <c r="C520" s="23" t="s">
        <v>0</v>
      </c>
      <c r="D520" s="22">
        <v>0</v>
      </c>
      <c r="E520" s="39">
        <v>0</v>
      </c>
      <c r="F520">
        <f>IF(COUNTIF($A$2:A520, A520)=1, 1, 0)</f>
        <v>1</v>
      </c>
      <c r="G520">
        <f>IF(AND(C520="Внутри сети", COUNTIFS($A$2:A520, A520, $C$2:C520, "Внутри сети")=1), 1, 0)</f>
        <v>1</v>
      </c>
      <c r="H520">
        <f>IF(AND(B520=6, COUNTIFS($A$2:A520, A520, $B$2:B520, 6)=1), 1, 0)</f>
        <v>1</v>
      </c>
      <c r="I520">
        <f>IF(AND(B520=2, COUNTIFS($A$2:A520, A520, $B$2:B520, 2)=1), 1, 0)</f>
        <v>0</v>
      </c>
    </row>
    <row r="521" spans="1:9">
      <c r="A521" s="22">
        <v>77010000240</v>
      </c>
      <c r="B521" s="22">
        <v>6</v>
      </c>
      <c r="C521" s="23" t="s">
        <v>0</v>
      </c>
      <c r="D521" s="22">
        <v>4.26</v>
      </c>
      <c r="E521" s="39">
        <v>1</v>
      </c>
      <c r="F521">
        <f>IF(COUNTIF($A$2:A521, A521)=1, 1, 0)</f>
        <v>1</v>
      </c>
      <c r="G521">
        <f>IF(AND(C521="Внутри сети", COUNTIFS($A$2:A521, A521, $C$2:C521, "Внутри сети")=1), 1, 0)</f>
        <v>1</v>
      </c>
      <c r="H521">
        <f>IF(AND(B521=6, COUNTIFS($A$2:A521, A521, $B$2:B521, 6)=1), 1, 0)</f>
        <v>1</v>
      </c>
      <c r="I521">
        <f>IF(AND(B521=2, COUNTIFS($A$2:A521, A521, $B$2:B521, 2)=1), 1, 0)</f>
        <v>0</v>
      </c>
    </row>
    <row r="522" spans="1:9">
      <c r="A522" s="22">
        <v>77010000244</v>
      </c>
      <c r="B522" s="22">
        <v>6</v>
      </c>
      <c r="C522" s="23" t="s">
        <v>0</v>
      </c>
      <c r="D522" s="22">
        <v>4.26</v>
      </c>
      <c r="E522" s="39">
        <v>1</v>
      </c>
      <c r="F522">
        <f>IF(COUNTIF($A$2:A522, A522)=1, 1, 0)</f>
        <v>1</v>
      </c>
      <c r="G522">
        <f>IF(AND(C522="Внутри сети", COUNTIFS($A$2:A522, A522, $C$2:C522, "Внутри сети")=1), 1, 0)</f>
        <v>1</v>
      </c>
      <c r="H522">
        <f>IF(AND(B522=6, COUNTIFS($A$2:A522, A522, $B$2:B522, 6)=1), 1, 0)</f>
        <v>1</v>
      </c>
      <c r="I522">
        <f>IF(AND(B522=2, COUNTIFS($A$2:A522, A522, $B$2:B522, 2)=1), 1, 0)</f>
        <v>0</v>
      </c>
    </row>
    <row r="523" spans="1:9">
      <c r="A523" s="22">
        <v>77010000245</v>
      </c>
      <c r="B523" s="22">
        <v>6</v>
      </c>
      <c r="C523" s="23" t="s">
        <v>0</v>
      </c>
      <c r="D523" s="22">
        <v>4.26</v>
      </c>
      <c r="E523" s="39">
        <v>1</v>
      </c>
      <c r="F523">
        <f>IF(COUNTIF($A$2:A523, A523)=1, 1, 0)</f>
        <v>1</v>
      </c>
      <c r="G523">
        <f>IF(AND(C523="Внутри сети", COUNTIFS($A$2:A523, A523, $C$2:C523, "Внутри сети")=1), 1, 0)</f>
        <v>1</v>
      </c>
      <c r="H523">
        <f>IF(AND(B523=6, COUNTIFS($A$2:A523, A523, $B$2:B523, 6)=1), 1, 0)</f>
        <v>1</v>
      </c>
      <c r="I523">
        <f>IF(AND(B523=2, COUNTIFS($A$2:A523, A523, $B$2:B523, 2)=1), 1, 0)</f>
        <v>0</v>
      </c>
    </row>
    <row r="524" spans="1:9">
      <c r="A524" s="22">
        <v>77010000247</v>
      </c>
      <c r="B524" s="22">
        <v>6</v>
      </c>
      <c r="C524" s="23" t="s">
        <v>0</v>
      </c>
      <c r="D524" s="22">
        <v>4.26</v>
      </c>
      <c r="E524" s="39">
        <v>1</v>
      </c>
      <c r="F524">
        <f>IF(COUNTIF($A$2:A524, A524)=1, 1, 0)</f>
        <v>1</v>
      </c>
      <c r="G524">
        <f>IF(AND(C524="Внутри сети", COUNTIFS($A$2:A524, A524, $C$2:C524, "Внутри сети")=1), 1, 0)</f>
        <v>1</v>
      </c>
      <c r="H524">
        <f>IF(AND(B524=6, COUNTIFS($A$2:A524, A524, $B$2:B524, 6)=1), 1, 0)</f>
        <v>1</v>
      </c>
      <c r="I524">
        <f>IF(AND(B524=2, COUNTIFS($A$2:A524, A524, $B$2:B524, 2)=1), 1, 0)</f>
        <v>0</v>
      </c>
    </row>
    <row r="525" spans="1:9">
      <c r="A525" s="22">
        <v>77010000252</v>
      </c>
      <c r="B525" s="22">
        <v>6</v>
      </c>
      <c r="C525" s="23" t="s">
        <v>0</v>
      </c>
      <c r="D525" s="22">
        <v>4.26</v>
      </c>
      <c r="E525" s="39">
        <v>1</v>
      </c>
      <c r="F525">
        <f>IF(COUNTIF($A$2:A525, A525)=1, 1, 0)</f>
        <v>1</v>
      </c>
      <c r="G525">
        <f>IF(AND(C525="Внутри сети", COUNTIFS($A$2:A525, A525, $C$2:C525, "Внутри сети")=1), 1, 0)</f>
        <v>1</v>
      </c>
      <c r="H525">
        <f>IF(AND(B525=6, COUNTIFS($A$2:A525, A525, $B$2:B525, 6)=1), 1, 0)</f>
        <v>1</v>
      </c>
      <c r="I525">
        <f>IF(AND(B525=2, COUNTIFS($A$2:A525, A525, $B$2:B525, 2)=1), 1, 0)</f>
        <v>0</v>
      </c>
    </row>
    <row r="526" spans="1:9">
      <c r="A526" s="22">
        <v>77010000269</v>
      </c>
      <c r="B526" s="22">
        <v>6</v>
      </c>
      <c r="C526" s="23" t="s">
        <v>0</v>
      </c>
      <c r="D526" s="22">
        <v>4.26</v>
      </c>
      <c r="E526" s="39">
        <v>1</v>
      </c>
      <c r="F526">
        <f>IF(COUNTIF($A$2:A526, A526)=1, 1, 0)</f>
        <v>1</v>
      </c>
      <c r="G526">
        <f>IF(AND(C526="Внутри сети", COUNTIFS($A$2:A526, A526, $C$2:C526, "Внутри сети")=1), 1, 0)</f>
        <v>1</v>
      </c>
      <c r="H526">
        <f>IF(AND(B526=6, COUNTIFS($A$2:A526, A526, $B$2:B526, 6)=1), 1, 0)</f>
        <v>1</v>
      </c>
      <c r="I526">
        <f>IF(AND(B526=2, COUNTIFS($A$2:A526, A526, $B$2:B526, 2)=1), 1, 0)</f>
        <v>0</v>
      </c>
    </row>
    <row r="527" spans="1:9">
      <c r="A527" s="22">
        <v>77010000273</v>
      </c>
      <c r="B527" s="22">
        <v>6</v>
      </c>
      <c r="C527" s="23" t="s">
        <v>0</v>
      </c>
      <c r="D527" s="22">
        <v>4.26</v>
      </c>
      <c r="E527" s="39">
        <v>1</v>
      </c>
      <c r="F527">
        <f>IF(COUNTIF($A$2:A527, A527)=1, 1, 0)</f>
        <v>1</v>
      </c>
      <c r="G527">
        <f>IF(AND(C527="Внутри сети", COUNTIFS($A$2:A527, A527, $C$2:C527, "Внутри сети")=1), 1, 0)</f>
        <v>1</v>
      </c>
      <c r="H527">
        <f>IF(AND(B527=6, COUNTIFS($A$2:A527, A527, $B$2:B527, 6)=1), 1, 0)</f>
        <v>1</v>
      </c>
      <c r="I527">
        <f>IF(AND(B527=2, COUNTIFS($A$2:A527, A527, $B$2:B527, 2)=1), 1, 0)</f>
        <v>0</v>
      </c>
    </row>
    <row r="528" spans="1:9">
      <c r="A528" s="22">
        <v>77010000287</v>
      </c>
      <c r="B528" s="22">
        <v>6</v>
      </c>
      <c r="C528" s="23" t="s">
        <v>0</v>
      </c>
      <c r="D528" s="22">
        <v>4.26</v>
      </c>
      <c r="E528" s="39">
        <v>1</v>
      </c>
      <c r="F528">
        <f>IF(COUNTIF($A$2:A528, A528)=1, 1, 0)</f>
        <v>1</v>
      </c>
      <c r="G528">
        <f>IF(AND(C528="Внутри сети", COUNTIFS($A$2:A528, A528, $C$2:C528, "Внутри сети")=1), 1, 0)</f>
        <v>1</v>
      </c>
      <c r="H528">
        <f>IF(AND(B528=6, COUNTIFS($A$2:A528, A528, $B$2:B528, 6)=1), 1, 0)</f>
        <v>1</v>
      </c>
      <c r="I528">
        <f>IF(AND(B528=2, COUNTIFS($A$2:A528, A528, $B$2:B528, 2)=1), 1, 0)</f>
        <v>0</v>
      </c>
    </row>
    <row r="529" spans="1:9">
      <c r="A529" s="22">
        <v>77010000288</v>
      </c>
      <c r="B529" s="22">
        <v>6</v>
      </c>
      <c r="C529" s="23" t="s">
        <v>0</v>
      </c>
      <c r="D529" s="22">
        <v>4.26</v>
      </c>
      <c r="E529" s="39">
        <v>1</v>
      </c>
      <c r="F529">
        <f>IF(COUNTIF($A$2:A529, A529)=1, 1, 0)</f>
        <v>1</v>
      </c>
      <c r="G529">
        <f>IF(AND(C529="Внутри сети", COUNTIFS($A$2:A529, A529, $C$2:C529, "Внутри сети")=1), 1, 0)</f>
        <v>1</v>
      </c>
      <c r="H529">
        <f>IF(AND(B529=6, COUNTIFS($A$2:A529, A529, $B$2:B529, 6)=1), 1, 0)</f>
        <v>1</v>
      </c>
      <c r="I529">
        <f>IF(AND(B529=2, COUNTIFS($A$2:A529, A529, $B$2:B529, 2)=1), 1, 0)</f>
        <v>0</v>
      </c>
    </row>
    <row r="530" spans="1:9">
      <c r="A530" s="22">
        <v>77010000291</v>
      </c>
      <c r="B530" s="22">
        <v>6</v>
      </c>
      <c r="C530" s="23" t="s">
        <v>0</v>
      </c>
      <c r="D530" s="22">
        <v>4.26</v>
      </c>
      <c r="E530" s="39">
        <v>1</v>
      </c>
      <c r="F530">
        <f>IF(COUNTIF($A$2:A530, A530)=1, 1, 0)</f>
        <v>1</v>
      </c>
      <c r="G530">
        <f>IF(AND(C530="Внутри сети", COUNTIFS($A$2:A530, A530, $C$2:C530, "Внутри сети")=1), 1, 0)</f>
        <v>1</v>
      </c>
      <c r="H530">
        <f>IF(AND(B530=6, COUNTIFS($A$2:A530, A530, $B$2:B530, 6)=1), 1, 0)</f>
        <v>1</v>
      </c>
      <c r="I530">
        <f>IF(AND(B530=2, COUNTIFS($A$2:A530, A530, $B$2:B530, 2)=1), 1, 0)</f>
        <v>0</v>
      </c>
    </row>
    <row r="531" spans="1:9">
      <c r="A531" s="22">
        <v>77010000293</v>
      </c>
      <c r="B531" s="22">
        <v>6</v>
      </c>
      <c r="C531" s="23" t="s">
        <v>1</v>
      </c>
      <c r="D531" s="22">
        <v>7.43</v>
      </c>
      <c r="E531" s="39">
        <v>1</v>
      </c>
      <c r="F531">
        <f>IF(COUNTIF($A$2:A531, A531)=1, 1, 0)</f>
        <v>1</v>
      </c>
      <c r="G531">
        <f>IF(AND(C531="Внутри сети", COUNTIFS($A$2:A531, A531, $C$2:C531, "Внутри сети")=1), 1, 0)</f>
        <v>0</v>
      </c>
      <c r="H531">
        <f>IF(AND(B531=6, COUNTIFS($A$2:A531, A531, $B$2:B531, 6)=1), 1, 0)</f>
        <v>1</v>
      </c>
      <c r="I531">
        <f>IF(AND(B531=2, COUNTIFS($A$2:A531, A531, $B$2:B531, 2)=1), 1, 0)</f>
        <v>0</v>
      </c>
    </row>
    <row r="532" spans="1:9">
      <c r="A532" s="22">
        <v>77010000310</v>
      </c>
      <c r="B532" s="22">
        <v>6</v>
      </c>
      <c r="C532" s="23" t="s">
        <v>0</v>
      </c>
      <c r="D532" s="22">
        <v>4.26</v>
      </c>
      <c r="E532" s="39">
        <v>1</v>
      </c>
      <c r="F532">
        <f>IF(COUNTIF($A$2:A532, A532)=1, 1, 0)</f>
        <v>1</v>
      </c>
      <c r="G532">
        <f>IF(AND(C532="Внутри сети", COUNTIFS($A$2:A532, A532, $C$2:C532, "Внутри сети")=1), 1, 0)</f>
        <v>1</v>
      </c>
      <c r="H532">
        <f>IF(AND(B532=6, COUNTIFS($A$2:A532, A532, $B$2:B532, 6)=1), 1, 0)</f>
        <v>1</v>
      </c>
      <c r="I532">
        <f>IF(AND(B532=2, COUNTIFS($A$2:A532, A532, $B$2:B532, 2)=1), 1, 0)</f>
        <v>0</v>
      </c>
    </row>
    <row r="533" spans="1:9">
      <c r="A533" s="22">
        <v>77010000244</v>
      </c>
      <c r="B533" s="22">
        <v>6</v>
      </c>
      <c r="C533" s="23" t="s">
        <v>0</v>
      </c>
      <c r="D533" s="22">
        <v>4.26</v>
      </c>
      <c r="E533" s="39">
        <v>1</v>
      </c>
      <c r="F533">
        <f>IF(COUNTIF($A$2:A533, A533)=1, 1, 0)</f>
        <v>0</v>
      </c>
      <c r="G533">
        <f>IF(AND(C533="Внутри сети", COUNTIFS($A$2:A533, A533, $C$2:C533, "Внутри сети")=1), 1, 0)</f>
        <v>0</v>
      </c>
      <c r="H533">
        <f>IF(AND(B533=6, COUNTIFS($A$2:A533, A533, $B$2:B533, 6)=1), 1, 0)</f>
        <v>0</v>
      </c>
      <c r="I533">
        <f>IF(AND(B533=2, COUNTIFS($A$2:A533, A533, $B$2:B533, 2)=1), 1, 0)</f>
        <v>0</v>
      </c>
    </row>
    <row r="534" spans="1:9">
      <c r="A534" s="22">
        <v>77010000271</v>
      </c>
      <c r="B534" s="22">
        <v>6</v>
      </c>
      <c r="C534" s="23" t="s">
        <v>1</v>
      </c>
      <c r="D534" s="22">
        <v>7.43</v>
      </c>
      <c r="E534" s="39">
        <v>1</v>
      </c>
      <c r="F534">
        <f>IF(COUNTIF($A$2:A534, A534)=1, 1, 0)</f>
        <v>1</v>
      </c>
      <c r="G534">
        <f>IF(AND(C534="Внутри сети", COUNTIFS($A$2:A534, A534, $C$2:C534, "Внутри сети")=1), 1, 0)</f>
        <v>0</v>
      </c>
      <c r="H534">
        <f>IF(AND(B534=6, COUNTIFS($A$2:A534, A534, $B$2:B534, 6)=1), 1, 0)</f>
        <v>1</v>
      </c>
      <c r="I534">
        <f>IF(AND(B534=2, COUNTIFS($A$2:A534, A534, $B$2:B534, 2)=1), 1, 0)</f>
        <v>0</v>
      </c>
    </row>
    <row r="535" spans="1:9">
      <c r="A535" s="22">
        <v>77010000239</v>
      </c>
      <c r="B535" s="22">
        <v>6</v>
      </c>
      <c r="C535" s="23" t="s">
        <v>0</v>
      </c>
      <c r="D535" s="22">
        <v>4.26</v>
      </c>
      <c r="E535" s="39">
        <v>2</v>
      </c>
      <c r="F535">
        <f>IF(COUNTIF($A$2:A535, A535)=1, 1, 0)</f>
        <v>1</v>
      </c>
      <c r="G535">
        <f>IF(AND(C535="Внутри сети", COUNTIFS($A$2:A535, A535, $C$2:C535, "Внутри сети")=1), 1, 0)</f>
        <v>1</v>
      </c>
      <c r="H535">
        <f>IF(AND(B535=6, COUNTIFS($A$2:A535, A535, $B$2:B535, 6)=1), 1, 0)</f>
        <v>1</v>
      </c>
      <c r="I535">
        <f>IF(AND(B535=2, COUNTIFS($A$2:A535, A535, $B$2:B535, 2)=1), 1, 0)</f>
        <v>0</v>
      </c>
    </row>
    <row r="536" spans="1:9">
      <c r="A536" s="22">
        <v>77010000243</v>
      </c>
      <c r="B536" s="22">
        <v>6</v>
      </c>
      <c r="C536" s="23" t="s">
        <v>0</v>
      </c>
      <c r="D536" s="22">
        <v>4.26</v>
      </c>
      <c r="E536" s="39">
        <v>2</v>
      </c>
      <c r="F536">
        <f>IF(COUNTIF($A$2:A536, A536)=1, 1, 0)</f>
        <v>1</v>
      </c>
      <c r="G536">
        <f>IF(AND(C536="Внутри сети", COUNTIFS($A$2:A536, A536, $C$2:C536, "Внутри сети")=1), 1, 0)</f>
        <v>1</v>
      </c>
      <c r="H536">
        <f>IF(AND(B536=6, COUNTIFS($A$2:A536, A536, $B$2:B536, 6)=1), 1, 0)</f>
        <v>1</v>
      </c>
      <c r="I536">
        <f>IF(AND(B536=2, COUNTIFS($A$2:A536, A536, $B$2:B536, 2)=1), 1, 0)</f>
        <v>0</v>
      </c>
    </row>
    <row r="537" spans="1:9">
      <c r="A537" s="22">
        <v>77010000251</v>
      </c>
      <c r="B537" s="22">
        <v>6</v>
      </c>
      <c r="C537" s="23" t="s">
        <v>0</v>
      </c>
      <c r="D537" s="22">
        <v>4.26</v>
      </c>
      <c r="E537" s="39">
        <v>2</v>
      </c>
      <c r="F537">
        <f>IF(COUNTIF($A$2:A537, A537)=1, 1, 0)</f>
        <v>1</v>
      </c>
      <c r="G537">
        <f>IF(AND(C537="Внутри сети", COUNTIFS($A$2:A537, A537, $C$2:C537, "Внутри сети")=1), 1, 0)</f>
        <v>1</v>
      </c>
      <c r="H537">
        <f>IF(AND(B537=6, COUNTIFS($A$2:A537, A537, $B$2:B537, 6)=1), 1, 0)</f>
        <v>1</v>
      </c>
      <c r="I537">
        <f>IF(AND(B537=2, COUNTIFS($A$2:A537, A537, $B$2:B537, 2)=1), 1, 0)</f>
        <v>0</v>
      </c>
    </row>
    <row r="538" spans="1:9">
      <c r="A538" s="22">
        <v>77010000306</v>
      </c>
      <c r="B538" s="22">
        <v>6</v>
      </c>
      <c r="C538" s="23" t="s">
        <v>0</v>
      </c>
      <c r="D538" s="22">
        <v>4.26</v>
      </c>
      <c r="E538" s="39">
        <v>2</v>
      </c>
      <c r="F538">
        <f>IF(COUNTIF($A$2:A538, A538)=1, 1, 0)</f>
        <v>1</v>
      </c>
      <c r="G538">
        <f>IF(AND(C538="Внутри сети", COUNTIFS($A$2:A538, A538, $C$2:C538, "Внутри сети")=1), 1, 0)</f>
        <v>1</v>
      </c>
      <c r="H538">
        <f>IF(AND(B538=6, COUNTIFS($A$2:A538, A538, $B$2:B538, 6)=1), 1, 0)</f>
        <v>1</v>
      </c>
      <c r="I538">
        <f>IF(AND(B538=2, COUNTIFS($A$2:A538, A538, $B$2:B538, 2)=1), 1, 0)</f>
        <v>0</v>
      </c>
    </row>
    <row r="539" spans="1:9">
      <c r="A539" s="22">
        <v>77010000273</v>
      </c>
      <c r="B539" s="22">
        <v>6</v>
      </c>
      <c r="C539" s="23" t="s">
        <v>0</v>
      </c>
      <c r="D539" s="22">
        <v>4.26</v>
      </c>
      <c r="E539" s="39">
        <v>2</v>
      </c>
      <c r="F539">
        <f>IF(COUNTIF($A$2:A539, A539)=1, 1, 0)</f>
        <v>0</v>
      </c>
      <c r="G539">
        <f>IF(AND(C539="Внутри сети", COUNTIFS($A$2:A539, A539, $C$2:C539, "Внутри сети")=1), 1, 0)</f>
        <v>0</v>
      </c>
      <c r="H539">
        <f>IF(AND(B539=6, COUNTIFS($A$2:A539, A539, $B$2:B539, 6)=1), 1, 0)</f>
        <v>0</v>
      </c>
      <c r="I539">
        <f>IF(AND(B539=2, COUNTIFS($A$2:A539, A539, $B$2:B539, 2)=1), 1, 0)</f>
        <v>0</v>
      </c>
    </row>
    <row r="540" spans="1:9">
      <c r="A540" s="22">
        <v>77010000279</v>
      </c>
      <c r="B540" s="22">
        <v>6</v>
      </c>
      <c r="C540" s="23" t="s">
        <v>0</v>
      </c>
      <c r="D540" s="22">
        <v>4.26</v>
      </c>
      <c r="E540" s="39">
        <v>2</v>
      </c>
      <c r="F540">
        <f>IF(COUNTIF($A$2:A540, A540)=1, 1, 0)</f>
        <v>1</v>
      </c>
      <c r="G540">
        <f>IF(AND(C540="Внутри сети", COUNTIFS($A$2:A540, A540, $C$2:C540, "Внутри сети")=1), 1, 0)</f>
        <v>1</v>
      </c>
      <c r="H540">
        <f>IF(AND(B540=6, COUNTIFS($A$2:A540, A540, $B$2:B540, 6)=1), 1, 0)</f>
        <v>1</v>
      </c>
      <c r="I540">
        <f>IF(AND(B540=2, COUNTIFS($A$2:A540, A540, $B$2:B540, 2)=1), 1, 0)</f>
        <v>0</v>
      </c>
    </row>
    <row r="541" spans="1:9">
      <c r="A541" s="22">
        <v>77010000281</v>
      </c>
      <c r="B541" s="22">
        <v>6</v>
      </c>
      <c r="C541" s="23" t="s">
        <v>0</v>
      </c>
      <c r="D541" s="22">
        <v>4.26</v>
      </c>
      <c r="E541" s="39">
        <v>2</v>
      </c>
      <c r="F541">
        <f>IF(COUNTIF($A$2:A541, A541)=1, 1, 0)</f>
        <v>1</v>
      </c>
      <c r="G541">
        <f>IF(AND(C541="Внутри сети", COUNTIFS($A$2:A541, A541, $C$2:C541, "Внутри сети")=1), 1, 0)</f>
        <v>1</v>
      </c>
      <c r="H541">
        <f>IF(AND(B541=6, COUNTIFS($A$2:A541, A541, $B$2:B541, 6)=1), 1, 0)</f>
        <v>1</v>
      </c>
      <c r="I541">
        <f>IF(AND(B541=2, COUNTIFS($A$2:A541, A541, $B$2:B541, 2)=1), 1, 0)</f>
        <v>0</v>
      </c>
    </row>
    <row r="542" spans="1:9">
      <c r="A542" s="22">
        <v>77010000238</v>
      </c>
      <c r="B542" s="22">
        <v>6</v>
      </c>
      <c r="C542" s="23" t="s">
        <v>0</v>
      </c>
      <c r="D542" s="22">
        <v>4.26</v>
      </c>
      <c r="E542" s="39">
        <v>3</v>
      </c>
      <c r="F542">
        <f>IF(COUNTIF($A$2:A542, A542)=1, 1, 0)</f>
        <v>1</v>
      </c>
      <c r="G542">
        <f>IF(AND(C542="Внутри сети", COUNTIFS($A$2:A542, A542, $C$2:C542, "Внутри сети")=1), 1, 0)</f>
        <v>1</v>
      </c>
      <c r="H542">
        <f>IF(AND(B542=6, COUNTIFS($A$2:A542, A542, $B$2:B542, 6)=1), 1, 0)</f>
        <v>1</v>
      </c>
      <c r="I542">
        <f>IF(AND(B542=2, COUNTIFS($A$2:A542, A542, $B$2:B542, 2)=1), 1, 0)</f>
        <v>0</v>
      </c>
    </row>
    <row r="543" spans="1:9">
      <c r="A543" s="22">
        <v>77010000246</v>
      </c>
      <c r="B543" s="22">
        <v>6</v>
      </c>
      <c r="C543" s="23" t="s">
        <v>0</v>
      </c>
      <c r="D543" s="22">
        <v>4.26</v>
      </c>
      <c r="E543" s="39">
        <v>3</v>
      </c>
      <c r="F543">
        <f>IF(COUNTIF($A$2:A543, A543)=1, 1, 0)</f>
        <v>1</v>
      </c>
      <c r="G543">
        <f>IF(AND(C543="Внутри сети", COUNTIFS($A$2:A543, A543, $C$2:C543, "Внутри сети")=1), 1, 0)</f>
        <v>1</v>
      </c>
      <c r="H543">
        <f>IF(AND(B543=6, COUNTIFS($A$2:A543, A543, $B$2:B543, 6)=1), 1, 0)</f>
        <v>1</v>
      </c>
      <c r="I543">
        <f>IF(AND(B543=2, COUNTIFS($A$2:A543, A543, $B$2:B543, 2)=1), 1, 0)</f>
        <v>0</v>
      </c>
    </row>
    <row r="544" spans="1:9">
      <c r="A544" s="22">
        <v>77010000248</v>
      </c>
      <c r="B544" s="22">
        <v>6</v>
      </c>
      <c r="C544" s="23" t="s">
        <v>0</v>
      </c>
      <c r="D544" s="22">
        <v>4.26</v>
      </c>
      <c r="E544" s="39">
        <v>3</v>
      </c>
      <c r="F544">
        <f>IF(COUNTIF($A$2:A544, A544)=1, 1, 0)</f>
        <v>1</v>
      </c>
      <c r="G544">
        <f>IF(AND(C544="Внутри сети", COUNTIFS($A$2:A544, A544, $C$2:C544, "Внутри сети")=1), 1, 0)</f>
        <v>1</v>
      </c>
      <c r="H544">
        <f>IF(AND(B544=6, COUNTIFS($A$2:A544, A544, $B$2:B544, 6)=1), 1, 0)</f>
        <v>1</v>
      </c>
      <c r="I544">
        <f>IF(AND(B544=2, COUNTIFS($A$2:A544, A544, $B$2:B544, 2)=1), 1, 0)</f>
        <v>0</v>
      </c>
    </row>
    <row r="545" spans="1:9">
      <c r="A545" s="22">
        <v>77010000281</v>
      </c>
      <c r="B545" s="22">
        <v>6</v>
      </c>
      <c r="C545" s="23" t="s">
        <v>0</v>
      </c>
      <c r="D545" s="22">
        <v>4.26</v>
      </c>
      <c r="E545" s="39">
        <v>3</v>
      </c>
      <c r="F545">
        <f>IF(COUNTIF($A$2:A545, A545)=1, 1, 0)</f>
        <v>0</v>
      </c>
      <c r="G545">
        <f>IF(AND(C545="Внутри сети", COUNTIFS($A$2:A545, A545, $C$2:C545, "Внутри сети")=1), 1, 0)</f>
        <v>0</v>
      </c>
      <c r="H545">
        <f>IF(AND(B545=6, COUNTIFS($A$2:A545, A545, $B$2:B545, 6)=1), 1, 0)</f>
        <v>0</v>
      </c>
      <c r="I545">
        <f>IF(AND(B545=2, COUNTIFS($A$2:A545, A545, $B$2:B545, 2)=1), 1, 0)</f>
        <v>0</v>
      </c>
    </row>
    <row r="546" spans="1:9">
      <c r="A546" s="22">
        <v>77010000270</v>
      </c>
      <c r="B546" s="22">
        <v>6</v>
      </c>
      <c r="C546" s="23" t="s">
        <v>0</v>
      </c>
      <c r="D546" s="22">
        <v>4.26</v>
      </c>
      <c r="E546" s="39">
        <v>3</v>
      </c>
      <c r="F546">
        <f>IF(COUNTIF($A$2:A546, A546)=1, 1, 0)</f>
        <v>1</v>
      </c>
      <c r="G546">
        <f>IF(AND(C546="Внутри сети", COUNTIFS($A$2:A546, A546, $C$2:C546, "Внутри сети")=1), 1, 0)</f>
        <v>1</v>
      </c>
      <c r="H546">
        <f>IF(AND(B546=6, COUNTIFS($A$2:A546, A546, $B$2:B546, 6)=1), 1, 0)</f>
        <v>1</v>
      </c>
      <c r="I546">
        <f>IF(AND(B546=2, COUNTIFS($A$2:A546, A546, $B$2:B546, 2)=1), 1, 0)</f>
        <v>0</v>
      </c>
    </row>
    <row r="547" spans="1:9">
      <c r="A547" s="22">
        <v>77010000271</v>
      </c>
      <c r="B547" s="22">
        <v>6</v>
      </c>
      <c r="C547" s="23" t="s">
        <v>0</v>
      </c>
      <c r="D547" s="22">
        <v>4.26</v>
      </c>
      <c r="E547" s="39">
        <v>4</v>
      </c>
      <c r="F547">
        <f>IF(COUNTIF($A$2:A547, A547)=1, 1, 0)</f>
        <v>0</v>
      </c>
      <c r="G547">
        <f>IF(AND(C547="Внутри сети", COUNTIFS($A$2:A547, A547, $C$2:C547, "Внутри сети")=1), 1, 0)</f>
        <v>1</v>
      </c>
      <c r="H547">
        <f>IF(AND(B547=6, COUNTIFS($A$2:A547, A547, $B$2:B547, 6)=1), 1, 0)</f>
        <v>0</v>
      </c>
      <c r="I547">
        <f>IF(AND(B547=2, COUNTIFS($A$2:A547, A547, $B$2:B547, 2)=1), 1, 0)</f>
        <v>0</v>
      </c>
    </row>
    <row r="548" spans="1:9">
      <c r="A548" s="22">
        <v>77010000294</v>
      </c>
      <c r="B548" s="22">
        <v>6</v>
      </c>
      <c r="C548" s="23" t="s">
        <v>0</v>
      </c>
      <c r="D548" s="22">
        <v>4.26</v>
      </c>
      <c r="E548" s="39">
        <v>4</v>
      </c>
      <c r="F548">
        <f>IF(COUNTIF($A$2:A548, A548)=1, 1, 0)</f>
        <v>1</v>
      </c>
      <c r="G548">
        <f>IF(AND(C548="Внутри сети", COUNTIFS($A$2:A548, A548, $C$2:C548, "Внутри сети")=1), 1, 0)</f>
        <v>1</v>
      </c>
      <c r="H548">
        <f>IF(AND(B548=6, COUNTIFS($A$2:A548, A548, $B$2:B548, 6)=1), 1, 0)</f>
        <v>1</v>
      </c>
      <c r="I548">
        <f>IF(AND(B548=2, COUNTIFS($A$2:A548, A548, $B$2:B548, 2)=1), 1, 0)</f>
        <v>0</v>
      </c>
    </row>
    <row r="549" spans="1:9">
      <c r="A549" s="22">
        <v>77010000290</v>
      </c>
      <c r="B549" s="22">
        <v>6</v>
      </c>
      <c r="C549" s="23" t="s">
        <v>0</v>
      </c>
      <c r="D549" s="22">
        <v>4.26</v>
      </c>
      <c r="E549" s="39">
        <v>4</v>
      </c>
      <c r="F549">
        <f>IF(COUNTIF($A$2:A549, A549)=1, 1, 0)</f>
        <v>1</v>
      </c>
      <c r="G549">
        <f>IF(AND(C549="Внутри сети", COUNTIFS($A$2:A549, A549, $C$2:C549, "Внутри сети")=1), 1, 0)</f>
        <v>1</v>
      </c>
      <c r="H549">
        <f>IF(AND(B549=6, COUNTIFS($A$2:A549, A549, $B$2:B549, 6)=1), 1, 0)</f>
        <v>1</v>
      </c>
      <c r="I549">
        <f>IF(AND(B549=2, COUNTIFS($A$2:A549, A549, $B$2:B549, 2)=1), 1, 0)</f>
        <v>0</v>
      </c>
    </row>
    <row r="550" spans="1:9">
      <c r="A550" s="22">
        <v>77010000258</v>
      </c>
      <c r="B550" s="22">
        <v>6</v>
      </c>
      <c r="C550" s="23" t="s">
        <v>0</v>
      </c>
      <c r="D550" s="22">
        <v>0</v>
      </c>
      <c r="E550" s="39">
        <v>4</v>
      </c>
      <c r="F550">
        <f>IF(COUNTIF($A$2:A550, A550)=1, 1, 0)</f>
        <v>1</v>
      </c>
      <c r="G550">
        <f>IF(AND(C550="Внутри сети", COUNTIFS($A$2:A550, A550, $C$2:C550, "Внутри сети")=1), 1, 0)</f>
        <v>1</v>
      </c>
      <c r="H550">
        <f>IF(AND(B550=6, COUNTIFS($A$2:A550, A550, $B$2:B550, 6)=1), 1, 0)</f>
        <v>1</v>
      </c>
      <c r="I550">
        <f>IF(AND(B550=2, COUNTIFS($A$2:A550, A550, $B$2:B550, 2)=1), 1, 0)</f>
        <v>0</v>
      </c>
    </row>
    <row r="551" spans="1:9">
      <c r="A551" s="22">
        <v>77010000288</v>
      </c>
      <c r="B551" s="22">
        <v>6</v>
      </c>
      <c r="C551" s="23" t="s">
        <v>0</v>
      </c>
      <c r="D551" s="22">
        <v>4.26</v>
      </c>
      <c r="E551" s="39">
        <v>4</v>
      </c>
      <c r="F551">
        <f>IF(COUNTIF($A$2:A551, A551)=1, 1, 0)</f>
        <v>0</v>
      </c>
      <c r="G551">
        <f>IF(AND(C551="Внутри сети", COUNTIFS($A$2:A551, A551, $C$2:C551, "Внутри сети")=1), 1, 0)</f>
        <v>0</v>
      </c>
      <c r="H551">
        <f>IF(AND(B551=6, COUNTIFS($A$2:A551, A551, $B$2:B551, 6)=1), 1, 0)</f>
        <v>0</v>
      </c>
      <c r="I551">
        <f>IF(AND(B551=2, COUNTIFS($A$2:A551, A551, $B$2:B551, 2)=1), 1, 0)</f>
        <v>0</v>
      </c>
    </row>
    <row r="552" spans="1:9">
      <c r="A552" s="22">
        <v>77010000270</v>
      </c>
      <c r="B552" s="22">
        <v>6</v>
      </c>
      <c r="C552" s="23" t="s">
        <v>0</v>
      </c>
      <c r="D552" s="22">
        <v>4.26</v>
      </c>
      <c r="E552" s="39">
        <v>5</v>
      </c>
      <c r="F552">
        <f>IF(COUNTIF($A$2:A552, A552)=1, 1, 0)</f>
        <v>0</v>
      </c>
      <c r="G552">
        <f>IF(AND(C552="Внутри сети", COUNTIFS($A$2:A552, A552, $C$2:C552, "Внутри сети")=1), 1, 0)</f>
        <v>0</v>
      </c>
      <c r="H552">
        <f>IF(AND(B552=6, COUNTIFS($A$2:A552, A552, $B$2:B552, 6)=1), 1, 0)</f>
        <v>0</v>
      </c>
      <c r="I552">
        <f>IF(AND(B552=2, COUNTIFS($A$2:A552, A552, $B$2:B552, 2)=1), 1, 0)</f>
        <v>0</v>
      </c>
    </row>
    <row r="553" spans="1:9">
      <c r="A553" s="22">
        <v>77010000285</v>
      </c>
      <c r="B553" s="22">
        <v>6</v>
      </c>
      <c r="C553" s="23" t="s">
        <v>0</v>
      </c>
      <c r="D553" s="22">
        <v>4.26</v>
      </c>
      <c r="E553" s="39">
        <v>5</v>
      </c>
      <c r="F553">
        <f>IF(COUNTIF($A$2:A553, A553)=1, 1, 0)</f>
        <v>1</v>
      </c>
      <c r="G553">
        <f>IF(AND(C553="Внутри сети", COUNTIFS($A$2:A553, A553, $C$2:C553, "Внутри сети")=1), 1, 0)</f>
        <v>1</v>
      </c>
      <c r="H553">
        <f>IF(AND(B553=6, COUNTIFS($A$2:A553, A553, $B$2:B553, 6)=1), 1, 0)</f>
        <v>1</v>
      </c>
      <c r="I553">
        <f>IF(AND(B553=2, COUNTIFS($A$2:A553, A553, $B$2:B553, 2)=1), 1, 0)</f>
        <v>0</v>
      </c>
    </row>
    <row r="554" spans="1:9">
      <c r="A554" s="22">
        <v>77010000295</v>
      </c>
      <c r="B554" s="22">
        <v>6</v>
      </c>
      <c r="C554" s="23" t="s">
        <v>0</v>
      </c>
      <c r="D554" s="22">
        <v>4.26</v>
      </c>
      <c r="E554" s="39">
        <v>5</v>
      </c>
      <c r="F554">
        <f>IF(COUNTIF($A$2:A554, A554)=1, 1, 0)</f>
        <v>1</v>
      </c>
      <c r="G554">
        <f>IF(AND(C554="Внутри сети", COUNTIFS($A$2:A554, A554, $C$2:C554, "Внутри сети")=1), 1, 0)</f>
        <v>1</v>
      </c>
      <c r="H554">
        <f>IF(AND(B554=6, COUNTIFS($A$2:A554, A554, $B$2:B554, 6)=1), 1, 0)</f>
        <v>1</v>
      </c>
      <c r="I554">
        <f>IF(AND(B554=2, COUNTIFS($A$2:A554, A554, $B$2:B554, 2)=1), 1, 0)</f>
        <v>0</v>
      </c>
    </row>
    <row r="555" spans="1:9">
      <c r="A555" s="22">
        <v>77010000312</v>
      </c>
      <c r="B555" s="22">
        <v>6</v>
      </c>
      <c r="C555" s="23" t="s">
        <v>0</v>
      </c>
      <c r="D555" s="22">
        <v>4.26</v>
      </c>
      <c r="E555" s="39">
        <v>5</v>
      </c>
      <c r="F555">
        <f>IF(COUNTIF($A$2:A555, A555)=1, 1, 0)</f>
        <v>1</v>
      </c>
      <c r="G555">
        <f>IF(AND(C555="Внутри сети", COUNTIFS($A$2:A555, A555, $C$2:C555, "Внутри сети")=1), 1, 0)</f>
        <v>1</v>
      </c>
      <c r="H555">
        <f>IF(AND(B555=6, COUNTIFS($A$2:A555, A555, $B$2:B555, 6)=1), 1, 0)</f>
        <v>1</v>
      </c>
      <c r="I555">
        <f>IF(AND(B555=2, COUNTIFS($A$2:A555, A555, $B$2:B555, 2)=1), 1, 0)</f>
        <v>0</v>
      </c>
    </row>
    <row r="556" spans="1:9">
      <c r="A556" s="22">
        <v>77010000248</v>
      </c>
      <c r="B556" s="22">
        <v>6</v>
      </c>
      <c r="C556" s="23" t="s">
        <v>0</v>
      </c>
      <c r="D556" s="22">
        <v>4.26</v>
      </c>
      <c r="E556" s="39">
        <v>5</v>
      </c>
      <c r="F556">
        <f>IF(COUNTIF($A$2:A556, A556)=1, 1, 0)</f>
        <v>0</v>
      </c>
      <c r="G556">
        <f>IF(AND(C556="Внутри сети", COUNTIFS($A$2:A556, A556, $C$2:C556, "Внутри сети")=1), 1, 0)</f>
        <v>0</v>
      </c>
      <c r="H556">
        <f>IF(AND(B556=6, COUNTIFS($A$2:A556, A556, $B$2:B556, 6)=1), 1, 0)</f>
        <v>0</v>
      </c>
      <c r="I556">
        <f>IF(AND(B556=2, COUNTIFS($A$2:A556, A556, $B$2:B556, 2)=1), 1, 0)</f>
        <v>0</v>
      </c>
    </row>
    <row r="557" spans="1:9">
      <c r="A557" s="22">
        <v>77010000241</v>
      </c>
      <c r="B557" s="22">
        <v>6</v>
      </c>
      <c r="C557" s="23" t="s">
        <v>0</v>
      </c>
      <c r="D557" s="22">
        <v>4.26</v>
      </c>
      <c r="E557" s="39">
        <v>6</v>
      </c>
      <c r="F557">
        <f>IF(COUNTIF($A$2:A557, A557)=1, 1, 0)</f>
        <v>1</v>
      </c>
      <c r="G557">
        <f>IF(AND(C557="Внутри сети", COUNTIFS($A$2:A557, A557, $C$2:C557, "Внутри сети")=1), 1, 0)</f>
        <v>1</v>
      </c>
      <c r="H557">
        <f>IF(AND(B557=6, COUNTIFS($A$2:A557, A557, $B$2:B557, 6)=1), 1, 0)</f>
        <v>1</v>
      </c>
      <c r="I557">
        <f>IF(AND(B557=2, COUNTIFS($A$2:A557, A557, $B$2:B557, 2)=1), 1, 0)</f>
        <v>0</v>
      </c>
    </row>
    <row r="558" spans="1:9">
      <c r="A558" s="22">
        <v>77010000242</v>
      </c>
      <c r="B558" s="22">
        <v>6</v>
      </c>
      <c r="C558" s="23" t="s">
        <v>0</v>
      </c>
      <c r="D558" s="22">
        <v>4.26</v>
      </c>
      <c r="E558" s="39">
        <v>6</v>
      </c>
      <c r="F558">
        <f>IF(COUNTIF($A$2:A558, A558)=1, 1, 0)</f>
        <v>1</v>
      </c>
      <c r="G558">
        <f>IF(AND(C558="Внутри сети", COUNTIFS($A$2:A558, A558, $C$2:C558, "Внутри сети")=1), 1, 0)</f>
        <v>1</v>
      </c>
      <c r="H558">
        <f>IF(AND(B558=6, COUNTIFS($A$2:A558, A558, $B$2:B558, 6)=1), 1, 0)</f>
        <v>1</v>
      </c>
      <c r="I558">
        <f>IF(AND(B558=2, COUNTIFS($A$2:A558, A558, $B$2:B558, 2)=1), 1, 0)</f>
        <v>0</v>
      </c>
    </row>
    <row r="559" spans="1:9">
      <c r="A559" s="22">
        <v>77010000249</v>
      </c>
      <c r="B559" s="22">
        <v>6</v>
      </c>
      <c r="C559" s="23" t="s">
        <v>0</v>
      </c>
      <c r="D559" s="22">
        <v>4.26</v>
      </c>
      <c r="E559" s="39">
        <v>6</v>
      </c>
      <c r="F559">
        <f>IF(COUNTIF($A$2:A559, A559)=1, 1, 0)</f>
        <v>1</v>
      </c>
      <c r="G559">
        <f>IF(AND(C559="Внутри сети", COUNTIFS($A$2:A559, A559, $C$2:C559, "Внутри сети")=1), 1, 0)</f>
        <v>1</v>
      </c>
      <c r="H559">
        <f>IF(AND(B559=6, COUNTIFS($A$2:A559, A559, $B$2:B559, 6)=1), 1, 0)</f>
        <v>1</v>
      </c>
      <c r="I559">
        <f>IF(AND(B559=2, COUNTIFS($A$2:A559, A559, $B$2:B559, 2)=1), 1, 0)</f>
        <v>0</v>
      </c>
    </row>
    <row r="560" spans="1:9">
      <c r="A560" s="22">
        <v>77010000257</v>
      </c>
      <c r="B560" s="22">
        <v>6</v>
      </c>
      <c r="C560" s="23" t="s">
        <v>0</v>
      </c>
      <c r="D560" s="22">
        <v>4.26</v>
      </c>
      <c r="E560" s="39">
        <v>6</v>
      </c>
      <c r="F560">
        <f>IF(COUNTIF($A$2:A560, A560)=1, 1, 0)</f>
        <v>1</v>
      </c>
      <c r="G560">
        <f>IF(AND(C560="Внутри сети", COUNTIFS($A$2:A560, A560, $C$2:C560, "Внутри сети")=1), 1, 0)</f>
        <v>1</v>
      </c>
      <c r="H560">
        <f>IF(AND(B560=6, COUNTIFS($A$2:A560, A560, $B$2:B560, 6)=1), 1, 0)</f>
        <v>1</v>
      </c>
      <c r="I560">
        <f>IF(AND(B560=2, COUNTIFS($A$2:A560, A560, $B$2:B560, 2)=1), 1, 0)</f>
        <v>0</v>
      </c>
    </row>
    <row r="561" spans="1:9">
      <c r="A561" s="22">
        <v>77010000289</v>
      </c>
      <c r="B561" s="22">
        <v>6</v>
      </c>
      <c r="C561" s="23" t="s">
        <v>0</v>
      </c>
      <c r="D561" s="22">
        <v>4.26</v>
      </c>
      <c r="E561" s="39">
        <v>6</v>
      </c>
      <c r="F561">
        <f>IF(COUNTIF($A$2:A561, A561)=1, 1, 0)</f>
        <v>1</v>
      </c>
      <c r="G561">
        <f>IF(AND(C561="Внутри сети", COUNTIFS($A$2:A561, A561, $C$2:C561, "Внутри сети")=1), 1, 0)</f>
        <v>1</v>
      </c>
      <c r="H561">
        <f>IF(AND(B561=6, COUNTIFS($A$2:A561, A561, $B$2:B561, 6)=1), 1, 0)</f>
        <v>1</v>
      </c>
      <c r="I561">
        <f>IF(AND(B561=2, COUNTIFS($A$2:A561, A561, $B$2:B561, 2)=1), 1, 0)</f>
        <v>0</v>
      </c>
    </row>
    <row r="562" spans="1:9">
      <c r="A562" s="22">
        <v>77010000290</v>
      </c>
      <c r="B562" s="22">
        <v>6</v>
      </c>
      <c r="C562" s="23" t="s">
        <v>0</v>
      </c>
      <c r="D562" s="22">
        <v>4.26</v>
      </c>
      <c r="E562" s="39">
        <v>6</v>
      </c>
      <c r="F562">
        <f>IF(COUNTIF($A$2:A562, A562)=1, 1, 0)</f>
        <v>0</v>
      </c>
      <c r="G562">
        <f>IF(AND(C562="Внутри сети", COUNTIFS($A$2:A562, A562, $C$2:C562, "Внутри сети")=1), 1, 0)</f>
        <v>0</v>
      </c>
      <c r="H562">
        <f>IF(AND(B562=6, COUNTIFS($A$2:A562, A562, $B$2:B562, 6)=1), 1, 0)</f>
        <v>0</v>
      </c>
      <c r="I562">
        <f>IF(AND(B562=2, COUNTIFS($A$2:A562, A562, $B$2:B562, 2)=1), 1, 0)</f>
        <v>0</v>
      </c>
    </row>
    <row r="563" spans="1:9">
      <c r="A563" s="22">
        <v>77010000250</v>
      </c>
      <c r="B563" s="22">
        <v>6</v>
      </c>
      <c r="C563" s="23" t="s">
        <v>0</v>
      </c>
      <c r="D563" s="22">
        <v>4.26</v>
      </c>
      <c r="E563" s="39">
        <v>7</v>
      </c>
      <c r="F563">
        <f>IF(COUNTIF($A$2:A563, A563)=1, 1, 0)</f>
        <v>1</v>
      </c>
      <c r="G563">
        <f>IF(AND(C563="Внутри сети", COUNTIFS($A$2:A563, A563, $C$2:C563, "Внутри сети")=1), 1, 0)</f>
        <v>1</v>
      </c>
      <c r="H563">
        <f>IF(AND(B563=6, COUNTIFS($A$2:A563, A563, $B$2:B563, 6)=1), 1, 0)</f>
        <v>1</v>
      </c>
      <c r="I563">
        <f>IF(AND(B563=2, COUNTIFS($A$2:A563, A563, $B$2:B563, 2)=1), 1, 0)</f>
        <v>0</v>
      </c>
    </row>
    <row r="564" spans="1:9">
      <c r="A564" s="22">
        <v>77010000292</v>
      </c>
      <c r="B564" s="22">
        <v>6</v>
      </c>
      <c r="C564" s="23" t="s">
        <v>0</v>
      </c>
      <c r="D564" s="22">
        <v>4.26</v>
      </c>
      <c r="E564" s="39">
        <v>7</v>
      </c>
      <c r="F564">
        <f>IF(COUNTIF($A$2:A564, A564)=1, 1, 0)</f>
        <v>1</v>
      </c>
      <c r="G564">
        <f>IF(AND(C564="Внутри сети", COUNTIFS($A$2:A564, A564, $C$2:C564, "Внутри сети")=1), 1, 0)</f>
        <v>1</v>
      </c>
      <c r="H564">
        <f>IF(AND(B564=6, COUNTIFS($A$2:A564, A564, $B$2:B564, 6)=1), 1, 0)</f>
        <v>1</v>
      </c>
      <c r="I564">
        <f>IF(AND(B564=2, COUNTIFS($A$2:A564, A564, $B$2:B564, 2)=1), 1, 0)</f>
        <v>0</v>
      </c>
    </row>
    <row r="565" spans="1:9">
      <c r="A565" s="22">
        <v>77010000243</v>
      </c>
      <c r="B565" s="22">
        <v>6</v>
      </c>
      <c r="C565" s="23" t="s">
        <v>0</v>
      </c>
      <c r="D565" s="22">
        <v>4.26</v>
      </c>
      <c r="E565" s="39">
        <v>7</v>
      </c>
      <c r="F565">
        <f>IF(COUNTIF($A$2:A565, A565)=1, 1, 0)</f>
        <v>0</v>
      </c>
      <c r="G565">
        <f>IF(AND(C565="Внутри сети", COUNTIFS($A$2:A565, A565, $C$2:C565, "Внутри сети")=1), 1, 0)</f>
        <v>0</v>
      </c>
      <c r="H565">
        <f>IF(AND(B565=6, COUNTIFS($A$2:A565, A565, $B$2:B565, 6)=1), 1, 0)</f>
        <v>0</v>
      </c>
      <c r="I565">
        <f>IF(AND(B565=2, COUNTIFS($A$2:A565, A565, $B$2:B565, 2)=1), 1, 0)</f>
        <v>0</v>
      </c>
    </row>
    <row r="566" spans="1:9">
      <c r="A566" s="22">
        <v>77010000254</v>
      </c>
      <c r="B566" s="22">
        <v>6</v>
      </c>
      <c r="C566" s="23" t="s">
        <v>0</v>
      </c>
      <c r="D566" s="22">
        <v>4.26</v>
      </c>
      <c r="E566" s="39">
        <v>7</v>
      </c>
      <c r="F566">
        <f>IF(COUNTIF($A$2:A566, A566)=1, 1, 0)</f>
        <v>1</v>
      </c>
      <c r="G566">
        <f>IF(AND(C566="Внутри сети", COUNTIFS($A$2:A566, A566, $C$2:C566, "Внутри сети")=1), 1, 0)</f>
        <v>1</v>
      </c>
      <c r="H566">
        <f>IF(AND(B566=6, COUNTIFS($A$2:A566, A566, $B$2:B566, 6)=1), 1, 0)</f>
        <v>1</v>
      </c>
      <c r="I566">
        <f>IF(AND(B566=2, COUNTIFS($A$2:A566, A566, $B$2:B566, 2)=1), 1, 0)</f>
        <v>0</v>
      </c>
    </row>
    <row r="567" spans="1:9">
      <c r="A567" s="22">
        <v>77010000258</v>
      </c>
      <c r="B567" s="22">
        <v>6</v>
      </c>
      <c r="C567" s="23" t="s">
        <v>0</v>
      </c>
      <c r="D567" s="22">
        <v>4.26</v>
      </c>
      <c r="E567" s="39">
        <v>7</v>
      </c>
      <c r="F567">
        <f>IF(COUNTIF($A$2:A567, A567)=1, 1, 0)</f>
        <v>0</v>
      </c>
      <c r="G567">
        <f>IF(AND(C567="Внутри сети", COUNTIFS($A$2:A567, A567, $C$2:C567, "Внутри сети")=1), 1, 0)</f>
        <v>0</v>
      </c>
      <c r="H567">
        <f>IF(AND(B567=6, COUNTIFS($A$2:A567, A567, $B$2:B567, 6)=1), 1, 0)</f>
        <v>0</v>
      </c>
      <c r="I567">
        <f>IF(AND(B567=2, COUNTIFS($A$2:A567, A567, $B$2:B567, 2)=1), 1, 0)</f>
        <v>0</v>
      </c>
    </row>
    <row r="568" spans="1:9">
      <c r="A568" s="22">
        <v>77010000293</v>
      </c>
      <c r="B568" s="22">
        <v>6</v>
      </c>
      <c r="C568" s="23" t="s">
        <v>0</v>
      </c>
      <c r="D568" s="22">
        <v>4.26</v>
      </c>
      <c r="E568" s="39">
        <v>7</v>
      </c>
      <c r="F568">
        <f>IF(COUNTIF($A$2:A568, A568)=1, 1, 0)</f>
        <v>0</v>
      </c>
      <c r="G568">
        <f>IF(AND(C568="Внутри сети", COUNTIFS($A$2:A568, A568, $C$2:C568, "Внутри сети")=1), 1, 0)</f>
        <v>1</v>
      </c>
      <c r="H568">
        <f>IF(AND(B568=6, COUNTIFS($A$2:A568, A568, $B$2:B568, 6)=1), 1, 0)</f>
        <v>0</v>
      </c>
      <c r="I568">
        <f>IF(AND(B568=2, COUNTIFS($A$2:A568, A568, $B$2:B568, 2)=1), 1, 0)</f>
        <v>0</v>
      </c>
    </row>
    <row r="569" spans="1:9">
      <c r="A569" s="22">
        <v>77010000260</v>
      </c>
      <c r="B569" s="22">
        <v>6</v>
      </c>
      <c r="C569" s="23" t="s">
        <v>0</v>
      </c>
      <c r="D569" s="22">
        <v>4.26</v>
      </c>
      <c r="E569" s="39">
        <v>8</v>
      </c>
      <c r="F569">
        <f>IF(COUNTIF($A$2:A569, A569)=1, 1, 0)</f>
        <v>1</v>
      </c>
      <c r="G569">
        <f>IF(AND(C569="Внутри сети", COUNTIFS($A$2:A569, A569, $C$2:C569, "Внутри сети")=1), 1, 0)</f>
        <v>1</v>
      </c>
      <c r="H569">
        <f>IF(AND(B569=6, COUNTIFS($A$2:A569, A569, $B$2:B569, 6)=1), 1, 0)</f>
        <v>1</v>
      </c>
      <c r="I569">
        <f>IF(AND(B569=2, COUNTIFS($A$2:A569, A569, $B$2:B569, 2)=1), 1, 0)</f>
        <v>0</v>
      </c>
    </row>
    <row r="570" spans="1:9">
      <c r="A570" s="22">
        <v>77010000261</v>
      </c>
      <c r="B570" s="22">
        <v>6</v>
      </c>
      <c r="C570" s="23" t="s">
        <v>0</v>
      </c>
      <c r="D570" s="22">
        <v>4.26</v>
      </c>
      <c r="E570" s="39">
        <v>8</v>
      </c>
      <c r="F570">
        <f>IF(COUNTIF($A$2:A570, A570)=1, 1, 0)</f>
        <v>1</v>
      </c>
      <c r="G570">
        <f>IF(AND(C570="Внутри сети", COUNTIFS($A$2:A570, A570, $C$2:C570, "Внутри сети")=1), 1, 0)</f>
        <v>1</v>
      </c>
      <c r="H570">
        <f>IF(AND(B570=6, COUNTIFS($A$2:A570, A570, $B$2:B570, 6)=1), 1, 0)</f>
        <v>1</v>
      </c>
      <c r="I570">
        <f>IF(AND(B570=2, COUNTIFS($A$2:A570, A570, $B$2:B570, 2)=1), 1, 0)</f>
        <v>0</v>
      </c>
    </row>
    <row r="571" spans="1:9">
      <c r="A571" s="22">
        <v>77010000282</v>
      </c>
      <c r="B571" s="22">
        <v>6</v>
      </c>
      <c r="C571" s="23" t="s">
        <v>0</v>
      </c>
      <c r="D571" s="22">
        <v>4.26</v>
      </c>
      <c r="E571" s="39">
        <v>8</v>
      </c>
      <c r="F571">
        <f>IF(COUNTIF($A$2:A571, A571)=1, 1, 0)</f>
        <v>1</v>
      </c>
      <c r="G571">
        <f>IF(AND(C571="Внутри сети", COUNTIFS($A$2:A571, A571, $C$2:C571, "Внутри сети")=1), 1, 0)</f>
        <v>1</v>
      </c>
      <c r="H571">
        <f>IF(AND(B571=6, COUNTIFS($A$2:A571, A571, $B$2:B571, 6)=1), 1, 0)</f>
        <v>1</v>
      </c>
      <c r="I571">
        <f>IF(AND(B571=2, COUNTIFS($A$2:A571, A571, $B$2:B571, 2)=1), 1, 0)</f>
        <v>0</v>
      </c>
    </row>
    <row r="572" spans="1:9">
      <c r="A572" s="22">
        <v>77010000255</v>
      </c>
      <c r="B572" s="22">
        <v>6</v>
      </c>
      <c r="C572" s="23" t="s">
        <v>0</v>
      </c>
      <c r="D572" s="22">
        <v>4.26</v>
      </c>
      <c r="E572" s="39">
        <v>8</v>
      </c>
      <c r="F572">
        <f>IF(COUNTIF($A$2:A572, A572)=1, 1, 0)</f>
        <v>1</v>
      </c>
      <c r="G572">
        <f>IF(AND(C572="Внутри сети", COUNTIFS($A$2:A572, A572, $C$2:C572, "Внутри сети")=1), 1, 0)</f>
        <v>1</v>
      </c>
      <c r="H572">
        <f>IF(AND(B572=6, COUNTIFS($A$2:A572, A572, $B$2:B572, 6)=1), 1, 0)</f>
        <v>1</v>
      </c>
      <c r="I572">
        <f>IF(AND(B572=2, COUNTIFS($A$2:A572, A572, $B$2:B572, 2)=1), 1, 0)</f>
        <v>0</v>
      </c>
    </row>
    <row r="573" spans="1:9">
      <c r="A573" s="22">
        <v>77010000307</v>
      </c>
      <c r="B573" s="22">
        <v>6</v>
      </c>
      <c r="C573" s="23" t="s">
        <v>0</v>
      </c>
      <c r="D573" s="22">
        <v>4.26</v>
      </c>
      <c r="E573" s="39">
        <v>8</v>
      </c>
      <c r="F573">
        <f>IF(COUNTIF($A$2:A573, A573)=1, 1, 0)</f>
        <v>1</v>
      </c>
      <c r="G573">
        <f>IF(AND(C573="Внутри сети", COUNTIFS($A$2:A573, A573, $C$2:C573, "Внутри сети")=1), 1, 0)</f>
        <v>1</v>
      </c>
      <c r="H573">
        <f>IF(AND(B573=6, COUNTIFS($A$2:A573, A573, $B$2:B573, 6)=1), 1, 0)</f>
        <v>1</v>
      </c>
      <c r="I573">
        <f>IF(AND(B573=2, COUNTIFS($A$2:A573, A573, $B$2:B573, 2)=1), 1, 0)</f>
        <v>0</v>
      </c>
    </row>
    <row r="574" spans="1:9">
      <c r="A574" s="22">
        <v>77010000274</v>
      </c>
      <c r="B574" s="22">
        <v>6</v>
      </c>
      <c r="C574" s="23" t="s">
        <v>0</v>
      </c>
      <c r="D574" s="22">
        <v>4.26</v>
      </c>
      <c r="E574" s="39">
        <v>9</v>
      </c>
      <c r="F574">
        <f>IF(COUNTIF($A$2:A574, A574)=1, 1, 0)</f>
        <v>1</v>
      </c>
      <c r="G574">
        <f>IF(AND(C574="Внутри сети", COUNTIFS($A$2:A574, A574, $C$2:C574, "Внутри сети")=1), 1, 0)</f>
        <v>1</v>
      </c>
      <c r="H574">
        <f>IF(AND(B574=6, COUNTIFS($A$2:A574, A574, $B$2:B574, 6)=1), 1, 0)</f>
        <v>1</v>
      </c>
      <c r="I574">
        <f>IF(AND(B574=2, COUNTIFS($A$2:A574, A574, $B$2:B574, 2)=1), 1, 0)</f>
        <v>0</v>
      </c>
    </row>
    <row r="575" spans="1:9">
      <c r="A575" s="22">
        <v>77010000287</v>
      </c>
      <c r="B575" s="22">
        <v>6</v>
      </c>
      <c r="C575" s="23" t="s">
        <v>0</v>
      </c>
      <c r="D575" s="22">
        <v>4.26</v>
      </c>
      <c r="E575" s="39">
        <v>9</v>
      </c>
      <c r="F575">
        <f>IF(COUNTIF($A$2:A575, A575)=1, 1, 0)</f>
        <v>0</v>
      </c>
      <c r="G575">
        <f>IF(AND(C575="Внутри сети", COUNTIFS($A$2:A575, A575, $C$2:C575, "Внутри сети")=1), 1, 0)</f>
        <v>0</v>
      </c>
      <c r="H575">
        <f>IF(AND(B575=6, COUNTIFS($A$2:A575, A575, $B$2:B575, 6)=1), 1, 0)</f>
        <v>0</v>
      </c>
      <c r="I575">
        <f>IF(AND(B575=2, COUNTIFS($A$2:A575, A575, $B$2:B575, 2)=1), 1, 0)</f>
        <v>0</v>
      </c>
    </row>
    <row r="576" spans="1:9">
      <c r="A576" s="22">
        <v>77010000306</v>
      </c>
      <c r="B576" s="22">
        <v>6</v>
      </c>
      <c r="C576" s="23" t="s">
        <v>0</v>
      </c>
      <c r="D576" s="22">
        <v>4.26</v>
      </c>
      <c r="E576" s="39">
        <v>9</v>
      </c>
      <c r="F576">
        <f>IF(COUNTIF($A$2:A576, A576)=1, 1, 0)</f>
        <v>0</v>
      </c>
      <c r="G576">
        <f>IF(AND(C576="Внутри сети", COUNTIFS($A$2:A576, A576, $C$2:C576, "Внутри сети")=1), 1, 0)</f>
        <v>0</v>
      </c>
      <c r="H576">
        <f>IF(AND(B576=6, COUNTIFS($A$2:A576, A576, $B$2:B576, 6)=1), 1, 0)</f>
        <v>0</v>
      </c>
      <c r="I576">
        <f>IF(AND(B576=2, COUNTIFS($A$2:A576, A576, $B$2:B576, 2)=1), 1, 0)</f>
        <v>0</v>
      </c>
    </row>
    <row r="577" spans="1:9">
      <c r="A577" s="22">
        <v>77010000256</v>
      </c>
      <c r="B577" s="22">
        <v>6</v>
      </c>
      <c r="C577" s="23" t="s">
        <v>0</v>
      </c>
      <c r="D577" s="22">
        <v>4.26</v>
      </c>
      <c r="E577" s="39">
        <v>10</v>
      </c>
      <c r="F577">
        <f>IF(COUNTIF($A$2:A577, A577)=1, 1, 0)</f>
        <v>1</v>
      </c>
      <c r="G577">
        <f>IF(AND(C577="Внутри сети", COUNTIFS($A$2:A577, A577, $C$2:C577, "Внутри сети")=1), 1, 0)</f>
        <v>1</v>
      </c>
      <c r="H577">
        <f>IF(AND(B577=6, COUNTIFS($A$2:A577, A577, $B$2:B577, 6)=1), 1, 0)</f>
        <v>1</v>
      </c>
      <c r="I577">
        <f>IF(AND(B577=2, COUNTIFS($A$2:A577, A577, $B$2:B577, 2)=1), 1, 0)</f>
        <v>0</v>
      </c>
    </row>
    <row r="578" spans="1:9">
      <c r="A578" s="22">
        <v>77010000308</v>
      </c>
      <c r="B578" s="22">
        <v>6</v>
      </c>
      <c r="C578" s="23" t="s">
        <v>0</v>
      </c>
      <c r="D578" s="22">
        <v>4.26</v>
      </c>
      <c r="E578" s="39">
        <v>10</v>
      </c>
      <c r="F578">
        <f>IF(COUNTIF($A$2:A578, A578)=1, 1, 0)</f>
        <v>1</v>
      </c>
      <c r="G578">
        <f>IF(AND(C578="Внутри сети", COUNTIFS($A$2:A578, A578, $C$2:C578, "Внутри сети")=1), 1, 0)</f>
        <v>1</v>
      </c>
      <c r="H578">
        <f>IF(AND(B578=6, COUNTIFS($A$2:A578, A578, $B$2:B578, 6)=1), 1, 0)</f>
        <v>1</v>
      </c>
      <c r="I578">
        <f>IF(AND(B578=2, COUNTIFS($A$2:A578, A578, $B$2:B578, 2)=1), 1, 0)</f>
        <v>0</v>
      </c>
    </row>
    <row r="579" spans="1:9">
      <c r="A579" s="22">
        <v>77010000275</v>
      </c>
      <c r="B579" s="22">
        <v>6</v>
      </c>
      <c r="C579" s="23" t="s">
        <v>0</v>
      </c>
      <c r="D579" s="22">
        <v>4.26</v>
      </c>
      <c r="E579" s="39">
        <v>10</v>
      </c>
      <c r="F579">
        <f>IF(COUNTIF($A$2:A579, A579)=1, 1, 0)</f>
        <v>1</v>
      </c>
      <c r="G579">
        <f>IF(AND(C579="Внутри сети", COUNTIFS($A$2:A579, A579, $C$2:C579, "Внутри сети")=1), 1, 0)</f>
        <v>1</v>
      </c>
      <c r="H579">
        <f>IF(AND(B579=6, COUNTIFS($A$2:A579, A579, $B$2:B579, 6)=1), 1, 0)</f>
        <v>1</v>
      </c>
      <c r="I579">
        <f>IF(AND(B579=2, COUNTIFS($A$2:A579, A579, $B$2:B579, 2)=1), 1, 0)</f>
        <v>0</v>
      </c>
    </row>
    <row r="580" spans="1:9">
      <c r="A580" s="22">
        <v>77010000310</v>
      </c>
      <c r="B580" s="22">
        <v>6</v>
      </c>
      <c r="C580" s="23" t="s">
        <v>0</v>
      </c>
      <c r="D580" s="22">
        <v>4.26</v>
      </c>
      <c r="E580" s="39">
        <v>10</v>
      </c>
      <c r="F580">
        <f>IF(COUNTIF($A$2:A580, A580)=1, 1, 0)</f>
        <v>0</v>
      </c>
      <c r="G580">
        <f>IF(AND(C580="Внутри сети", COUNTIFS($A$2:A580, A580, $C$2:C580, "Внутри сети")=1), 1, 0)</f>
        <v>0</v>
      </c>
      <c r="H580">
        <f>IF(AND(B580=6, COUNTIFS($A$2:A580, A580, $B$2:B580, 6)=1), 1, 0)</f>
        <v>0</v>
      </c>
      <c r="I580">
        <f>IF(AND(B580=2, COUNTIFS($A$2:A580, A580, $B$2:B580, 2)=1), 1, 0)</f>
        <v>0</v>
      </c>
    </row>
    <row r="581" spans="1:9">
      <c r="A581" s="22">
        <v>77010000311</v>
      </c>
      <c r="B581" s="22">
        <v>6</v>
      </c>
      <c r="C581" s="23" t="s">
        <v>0</v>
      </c>
      <c r="D581" s="22">
        <v>4.26</v>
      </c>
      <c r="E581" s="39">
        <v>10</v>
      </c>
      <c r="F581">
        <f>IF(COUNTIF($A$2:A581, A581)=1, 1, 0)</f>
        <v>1</v>
      </c>
      <c r="G581">
        <f>IF(AND(C581="Внутри сети", COUNTIFS($A$2:A581, A581, $C$2:C581, "Внутри сети")=1), 1, 0)</f>
        <v>1</v>
      </c>
      <c r="H581">
        <f>IF(AND(B581=6, COUNTIFS($A$2:A581, A581, $B$2:B581, 6)=1), 1, 0)</f>
        <v>1</v>
      </c>
      <c r="I581">
        <f>IF(AND(B581=2, COUNTIFS($A$2:A581, A581, $B$2:B581, 2)=1), 1, 0)</f>
        <v>0</v>
      </c>
    </row>
    <row r="582" spans="1:9">
      <c r="A582" s="22">
        <v>77010000245</v>
      </c>
      <c r="B582" s="22">
        <v>6</v>
      </c>
      <c r="C582" s="23" t="s">
        <v>0</v>
      </c>
      <c r="D582" s="22">
        <v>4.26</v>
      </c>
      <c r="E582" s="39">
        <v>10</v>
      </c>
      <c r="F582">
        <f>IF(COUNTIF($A$2:A582, A582)=1, 1, 0)</f>
        <v>0</v>
      </c>
      <c r="G582">
        <f>IF(AND(C582="Внутри сети", COUNTIFS($A$2:A582, A582, $C$2:C582, "Внутри сети")=1), 1, 0)</f>
        <v>0</v>
      </c>
      <c r="H582">
        <f>IF(AND(B582=6, COUNTIFS($A$2:A582, A582, $B$2:B582, 6)=1), 1, 0)</f>
        <v>0</v>
      </c>
      <c r="I582">
        <f>IF(AND(B582=2, COUNTIFS($A$2:A582, A582, $B$2:B582, 2)=1), 1, 0)</f>
        <v>0</v>
      </c>
    </row>
    <row r="583" spans="1:9">
      <c r="A583" s="22">
        <v>77010000259</v>
      </c>
      <c r="B583" s="22">
        <v>6</v>
      </c>
      <c r="C583" s="23" t="s">
        <v>0</v>
      </c>
      <c r="D583" s="22">
        <v>4.26</v>
      </c>
      <c r="E583" s="39">
        <v>10</v>
      </c>
      <c r="F583">
        <f>IF(COUNTIF($A$2:A583, A583)=1, 1, 0)</f>
        <v>1</v>
      </c>
      <c r="G583">
        <f>IF(AND(C583="Внутри сети", COUNTIFS($A$2:A583, A583, $C$2:C583, "Внутри сети")=1), 1, 0)</f>
        <v>1</v>
      </c>
      <c r="H583">
        <f>IF(AND(B583=6, COUNTIFS($A$2:A583, A583, $B$2:B583, 6)=1), 1, 0)</f>
        <v>1</v>
      </c>
      <c r="I583">
        <f>IF(AND(B583=2, COUNTIFS($A$2:A583, A583, $B$2:B583, 2)=1), 1, 0)</f>
        <v>0</v>
      </c>
    </row>
    <row r="584" spans="1:9">
      <c r="A584" s="22">
        <v>77010000272</v>
      </c>
      <c r="B584" s="22">
        <v>6</v>
      </c>
      <c r="C584" s="23" t="s">
        <v>0</v>
      </c>
      <c r="D584" s="22">
        <v>4.26</v>
      </c>
      <c r="E584" s="39">
        <v>10</v>
      </c>
      <c r="F584">
        <f>IF(COUNTIF($A$2:A584, A584)=1, 1, 0)</f>
        <v>1</v>
      </c>
      <c r="G584">
        <f>IF(AND(C584="Внутри сети", COUNTIFS($A$2:A584, A584, $C$2:C584, "Внутри сети")=1), 1, 0)</f>
        <v>1</v>
      </c>
      <c r="H584">
        <f>IF(AND(B584=6, COUNTIFS($A$2:A584, A584, $B$2:B584, 6)=1), 1, 0)</f>
        <v>1</v>
      </c>
      <c r="I584">
        <f>IF(AND(B584=2, COUNTIFS($A$2:A584, A584, $B$2:B584, 2)=1), 1, 0)</f>
        <v>0</v>
      </c>
    </row>
    <row r="585" spans="1:9">
      <c r="A585" s="22">
        <v>77010000268</v>
      </c>
      <c r="B585" s="22">
        <v>6</v>
      </c>
      <c r="C585" s="23" t="s">
        <v>0</v>
      </c>
      <c r="D585" s="22">
        <v>8.52</v>
      </c>
      <c r="E585" s="39">
        <v>11</v>
      </c>
      <c r="F585">
        <f>IF(COUNTIF($A$2:A585, A585)=1, 1, 0)</f>
        <v>1</v>
      </c>
      <c r="G585">
        <f>IF(AND(C585="Внутри сети", COUNTIFS($A$2:A585, A585, $C$2:C585, "Внутри сети")=1), 1, 0)</f>
        <v>1</v>
      </c>
      <c r="H585">
        <f>IF(AND(B585=6, COUNTIFS($A$2:A585, A585, $B$2:B585, 6)=1), 1, 0)</f>
        <v>1</v>
      </c>
      <c r="I585">
        <f>IF(AND(B585=2, COUNTIFS($A$2:A585, A585, $B$2:B585, 2)=1), 1, 0)</f>
        <v>0</v>
      </c>
    </row>
    <row r="586" spans="1:9">
      <c r="A586" s="22">
        <v>77010000279</v>
      </c>
      <c r="B586" s="22">
        <v>6</v>
      </c>
      <c r="C586" s="23" t="s">
        <v>0</v>
      </c>
      <c r="D586" s="22">
        <v>8.52</v>
      </c>
      <c r="E586" s="39">
        <v>11</v>
      </c>
      <c r="F586">
        <f>IF(COUNTIF($A$2:A586, A586)=1, 1, 0)</f>
        <v>0</v>
      </c>
      <c r="G586">
        <f>IF(AND(C586="Внутри сети", COUNTIFS($A$2:A586, A586, $C$2:C586, "Внутри сети")=1), 1, 0)</f>
        <v>0</v>
      </c>
      <c r="H586">
        <f>IF(AND(B586=6, COUNTIFS($A$2:A586, A586, $B$2:B586, 6)=1), 1, 0)</f>
        <v>0</v>
      </c>
      <c r="I586">
        <f>IF(AND(B586=2, COUNTIFS($A$2:A586, A586, $B$2:B586, 2)=1), 1, 0)</f>
        <v>0</v>
      </c>
    </row>
    <row r="587" spans="1:9">
      <c r="A587" s="22">
        <v>77010000309</v>
      </c>
      <c r="B587" s="22">
        <v>6</v>
      </c>
      <c r="C587" s="23" t="s">
        <v>0</v>
      </c>
      <c r="D587" s="22">
        <v>8.52</v>
      </c>
      <c r="E587" s="39">
        <v>11</v>
      </c>
      <c r="F587">
        <f>IF(COUNTIF($A$2:A587, A587)=1, 1, 0)</f>
        <v>1</v>
      </c>
      <c r="G587">
        <f>IF(AND(C587="Внутри сети", COUNTIFS($A$2:A587, A587, $C$2:C587, "Внутри сети")=1), 1, 0)</f>
        <v>1</v>
      </c>
      <c r="H587">
        <f>IF(AND(B587=6, COUNTIFS($A$2:A587, A587, $B$2:B587, 6)=1), 1, 0)</f>
        <v>1</v>
      </c>
      <c r="I587">
        <f>IF(AND(B587=2, COUNTIFS($A$2:A587, A587, $B$2:B587, 2)=1), 1, 0)</f>
        <v>0</v>
      </c>
    </row>
    <row r="588" spans="1:9">
      <c r="A588" s="22">
        <v>77010000245</v>
      </c>
      <c r="B588" s="22">
        <v>6</v>
      </c>
      <c r="C588" s="23" t="s">
        <v>0</v>
      </c>
      <c r="D588" s="22">
        <v>8.52</v>
      </c>
      <c r="E588" s="39">
        <v>11</v>
      </c>
      <c r="F588">
        <f>IF(COUNTIF($A$2:A588, A588)=1, 1, 0)</f>
        <v>0</v>
      </c>
      <c r="G588">
        <f>IF(AND(C588="Внутри сети", COUNTIFS($A$2:A588, A588, $C$2:C588, "Внутри сети")=1), 1, 0)</f>
        <v>0</v>
      </c>
      <c r="H588">
        <f>IF(AND(B588=6, COUNTIFS($A$2:A588, A588, $B$2:B588, 6)=1), 1, 0)</f>
        <v>0</v>
      </c>
      <c r="I588">
        <f>IF(AND(B588=2, COUNTIFS($A$2:A588, A588, $B$2:B588, 2)=1), 1, 0)</f>
        <v>0</v>
      </c>
    </row>
    <row r="589" spans="1:9">
      <c r="A589" s="22">
        <v>77010000253</v>
      </c>
      <c r="B589" s="22">
        <v>6</v>
      </c>
      <c r="C589" s="23" t="s">
        <v>1</v>
      </c>
      <c r="D589" s="22">
        <v>14.87</v>
      </c>
      <c r="E589" s="39">
        <v>12</v>
      </c>
      <c r="F589">
        <f>IF(COUNTIF($A$2:A589, A589)=1, 1, 0)</f>
        <v>1</v>
      </c>
      <c r="G589">
        <f>IF(AND(C589="Внутри сети", COUNTIFS($A$2:A589, A589, $C$2:C589, "Внутри сети")=1), 1, 0)</f>
        <v>0</v>
      </c>
      <c r="H589">
        <f>IF(AND(B589=6, COUNTIFS($A$2:A589, A589, $B$2:B589, 6)=1), 1, 0)</f>
        <v>1</v>
      </c>
      <c r="I589">
        <f>IF(AND(B589=2, COUNTIFS($A$2:A589, A589, $B$2:B589, 2)=1), 1, 0)</f>
        <v>0</v>
      </c>
    </row>
    <row r="590" spans="1:9">
      <c r="A590" s="22">
        <v>77010000259</v>
      </c>
      <c r="B590" s="22">
        <v>6</v>
      </c>
      <c r="C590" s="23" t="s">
        <v>0</v>
      </c>
      <c r="D590" s="22">
        <v>8.52</v>
      </c>
      <c r="E590" s="39">
        <v>12</v>
      </c>
      <c r="F590">
        <f>IF(COUNTIF($A$2:A590, A590)=1, 1, 0)</f>
        <v>0</v>
      </c>
      <c r="G590">
        <f>IF(AND(C590="Внутри сети", COUNTIFS($A$2:A590, A590, $C$2:C590, "Внутри сети")=1), 1, 0)</f>
        <v>0</v>
      </c>
      <c r="H590">
        <f>IF(AND(B590=6, COUNTIFS($A$2:A590, A590, $B$2:B590, 6)=1), 1, 0)</f>
        <v>0</v>
      </c>
      <c r="I590">
        <f>IF(AND(B590=2, COUNTIFS($A$2:A590, A590, $B$2:B590, 2)=1), 1, 0)</f>
        <v>0</v>
      </c>
    </row>
    <row r="591" spans="1:9">
      <c r="A591" s="22">
        <v>77010000275</v>
      </c>
      <c r="B591" s="22">
        <v>6</v>
      </c>
      <c r="C591" s="23" t="s">
        <v>0</v>
      </c>
      <c r="D591" s="22">
        <v>8.52</v>
      </c>
      <c r="E591" s="39">
        <v>12</v>
      </c>
      <c r="F591">
        <f>IF(COUNTIF($A$2:A591, A591)=1, 1, 0)</f>
        <v>0</v>
      </c>
      <c r="G591">
        <f>IF(AND(C591="Внутри сети", COUNTIFS($A$2:A591, A591, $C$2:C591, "Внутри сети")=1), 1, 0)</f>
        <v>0</v>
      </c>
      <c r="H591">
        <f>IF(AND(B591=6, COUNTIFS($A$2:A591, A591, $B$2:B591, 6)=1), 1, 0)</f>
        <v>0</v>
      </c>
      <c r="I591">
        <f>IF(AND(B591=2, COUNTIFS($A$2:A591, A591, $B$2:B591, 2)=1), 1, 0)</f>
        <v>0</v>
      </c>
    </row>
    <row r="592" spans="1:9">
      <c r="A592" s="22">
        <v>77010000276</v>
      </c>
      <c r="B592" s="22">
        <v>6</v>
      </c>
      <c r="C592" s="23" t="s">
        <v>0</v>
      </c>
      <c r="D592" s="22">
        <v>8.52</v>
      </c>
      <c r="E592" s="39">
        <v>12</v>
      </c>
      <c r="F592">
        <f>IF(COUNTIF($A$2:A592, A592)=1, 1, 0)</f>
        <v>1</v>
      </c>
      <c r="G592">
        <f>IF(AND(C592="Внутри сети", COUNTIFS($A$2:A592, A592, $C$2:C592, "Внутри сети")=1), 1, 0)</f>
        <v>1</v>
      </c>
      <c r="H592">
        <f>IF(AND(B592=6, COUNTIFS($A$2:A592, A592, $B$2:B592, 6)=1), 1, 0)</f>
        <v>1</v>
      </c>
      <c r="I592">
        <f>IF(AND(B592=2, COUNTIFS($A$2:A592, A592, $B$2:B592, 2)=1), 1, 0)</f>
        <v>0</v>
      </c>
    </row>
    <row r="593" spans="1:9">
      <c r="A593" s="22">
        <v>77010000280</v>
      </c>
      <c r="B593" s="22">
        <v>6</v>
      </c>
      <c r="C593" s="23" t="s">
        <v>0</v>
      </c>
      <c r="D593" s="22">
        <v>8.52</v>
      </c>
      <c r="E593" s="39">
        <v>12</v>
      </c>
      <c r="F593">
        <f>IF(COUNTIF($A$2:A593, A593)=1, 1, 0)</f>
        <v>1</v>
      </c>
      <c r="G593">
        <f>IF(AND(C593="Внутри сети", COUNTIFS($A$2:A593, A593, $C$2:C593, "Внутри сети")=1), 1, 0)</f>
        <v>1</v>
      </c>
      <c r="H593">
        <f>IF(AND(B593=6, COUNTIFS($A$2:A593, A593, $B$2:B593, 6)=1), 1, 0)</f>
        <v>1</v>
      </c>
      <c r="I593">
        <f>IF(AND(B593=2, COUNTIFS($A$2:A593, A593, $B$2:B593, 2)=1), 1, 0)</f>
        <v>0</v>
      </c>
    </row>
    <row r="594" spans="1:9">
      <c r="A594" s="22">
        <v>77010000296</v>
      </c>
      <c r="B594" s="22">
        <v>6</v>
      </c>
      <c r="C594" s="23" t="s">
        <v>0</v>
      </c>
      <c r="D594" s="22">
        <v>8.52</v>
      </c>
      <c r="E594" s="39">
        <v>12</v>
      </c>
      <c r="F594">
        <f>IF(COUNTIF($A$2:A594, A594)=1, 1, 0)</f>
        <v>1</v>
      </c>
      <c r="G594">
        <f>IF(AND(C594="Внутри сети", COUNTIFS($A$2:A594, A594, $C$2:C594, "Внутри сети")=1), 1, 0)</f>
        <v>1</v>
      </c>
      <c r="H594">
        <f>IF(AND(B594=6, COUNTIFS($A$2:A594, A594, $B$2:B594, 6)=1), 1, 0)</f>
        <v>1</v>
      </c>
      <c r="I594">
        <f>IF(AND(B594=2, COUNTIFS($A$2:A594, A594, $B$2:B594, 2)=1), 1, 0)</f>
        <v>0</v>
      </c>
    </row>
    <row r="595" spans="1:9">
      <c r="A595" s="22">
        <v>77010000311</v>
      </c>
      <c r="B595" s="22">
        <v>6</v>
      </c>
      <c r="C595" s="23" t="s">
        <v>0</v>
      </c>
      <c r="D595" s="22">
        <v>8.52</v>
      </c>
      <c r="E595" s="39">
        <v>12</v>
      </c>
      <c r="F595">
        <f>IF(COUNTIF($A$2:A595, A595)=1, 1, 0)</f>
        <v>0</v>
      </c>
      <c r="G595">
        <f>IF(AND(C595="Внутри сети", COUNTIFS($A$2:A595, A595, $C$2:C595, "Внутри сети")=1), 1, 0)</f>
        <v>0</v>
      </c>
      <c r="H595">
        <f>IF(AND(B595=6, COUNTIFS($A$2:A595, A595, $B$2:B595, 6)=1), 1, 0)</f>
        <v>0</v>
      </c>
      <c r="I595">
        <f>IF(AND(B595=2, COUNTIFS($A$2:A595, A595, $B$2:B595, 2)=1), 1, 0)</f>
        <v>0</v>
      </c>
    </row>
    <row r="596" spans="1:9">
      <c r="A596" s="22">
        <v>77010000291</v>
      </c>
      <c r="B596" s="22">
        <v>6</v>
      </c>
      <c r="C596" s="23" t="s">
        <v>0</v>
      </c>
      <c r="D596" s="22">
        <v>8.52</v>
      </c>
      <c r="E596" s="39">
        <v>12</v>
      </c>
      <c r="F596">
        <f>IF(COUNTIF($A$2:A596, A596)=1, 1, 0)</f>
        <v>0</v>
      </c>
      <c r="G596">
        <f>IF(AND(C596="Внутри сети", COUNTIFS($A$2:A596, A596, $C$2:C596, "Внутри сети")=1), 1, 0)</f>
        <v>0</v>
      </c>
      <c r="H596">
        <f>IF(AND(B596=6, COUNTIFS($A$2:A596, A596, $B$2:B596, 6)=1), 1, 0)</f>
        <v>0</v>
      </c>
      <c r="I596">
        <f>IF(AND(B596=2, COUNTIFS($A$2:A596, A596, $B$2:B596, 2)=1), 1, 0)</f>
        <v>0</v>
      </c>
    </row>
    <row r="597" spans="1:9">
      <c r="A597" s="22">
        <v>77010000308</v>
      </c>
      <c r="B597" s="22">
        <v>6</v>
      </c>
      <c r="C597" s="23" t="s">
        <v>0</v>
      </c>
      <c r="D597" s="22">
        <v>8.52</v>
      </c>
      <c r="E597" s="39">
        <v>12</v>
      </c>
      <c r="F597">
        <f>IF(COUNTIF($A$2:A597, A597)=1, 1, 0)</f>
        <v>0</v>
      </c>
      <c r="G597">
        <f>IF(AND(C597="Внутри сети", COUNTIFS($A$2:A597, A597, $C$2:C597, "Внутри сети")=1), 1, 0)</f>
        <v>0</v>
      </c>
      <c r="H597">
        <f>IF(AND(B597=6, COUNTIFS($A$2:A597, A597, $B$2:B597, 6)=1), 1, 0)</f>
        <v>0</v>
      </c>
      <c r="I597">
        <f>IF(AND(B597=2, COUNTIFS($A$2:A597, A597, $B$2:B597, 2)=1), 1, 0)</f>
        <v>0</v>
      </c>
    </row>
    <row r="598" spans="1:9">
      <c r="A598" s="22">
        <v>77010000272</v>
      </c>
      <c r="B598" s="22">
        <v>6</v>
      </c>
      <c r="C598" s="23" t="s">
        <v>0</v>
      </c>
      <c r="D598" s="22">
        <v>8.52</v>
      </c>
      <c r="E598" s="39">
        <v>13</v>
      </c>
      <c r="F598">
        <f>IF(COUNTIF($A$2:A598, A598)=1, 1, 0)</f>
        <v>0</v>
      </c>
      <c r="G598">
        <f>IF(AND(C598="Внутри сети", COUNTIFS($A$2:A598, A598, $C$2:C598, "Внутри сети")=1), 1, 0)</f>
        <v>0</v>
      </c>
      <c r="H598">
        <f>IF(AND(B598=6, COUNTIFS($A$2:A598, A598, $B$2:B598, 6)=1), 1, 0)</f>
        <v>0</v>
      </c>
      <c r="I598">
        <f>IF(AND(B598=2, COUNTIFS($A$2:A598, A598, $B$2:B598, 2)=1), 1, 0)</f>
        <v>0</v>
      </c>
    </row>
    <row r="599" spans="1:9">
      <c r="A599" s="22">
        <v>77010000278</v>
      </c>
      <c r="B599" s="22">
        <v>6</v>
      </c>
      <c r="C599" s="23" t="s">
        <v>0</v>
      </c>
      <c r="D599" s="22">
        <v>8.52</v>
      </c>
      <c r="E599" s="39">
        <v>13</v>
      </c>
      <c r="F599">
        <f>IF(COUNTIF($A$2:A599, A599)=1, 1, 0)</f>
        <v>1</v>
      </c>
      <c r="G599">
        <f>IF(AND(C599="Внутри сети", COUNTIFS($A$2:A599, A599, $C$2:C599, "Внутри сети")=1), 1, 0)</f>
        <v>1</v>
      </c>
      <c r="H599">
        <f>IF(AND(B599=6, COUNTIFS($A$2:A599, A599, $B$2:B599, 6)=1), 1, 0)</f>
        <v>1</v>
      </c>
      <c r="I599">
        <f>IF(AND(B599=2, COUNTIFS($A$2:A599, A599, $B$2:B599, 2)=1), 1, 0)</f>
        <v>0</v>
      </c>
    </row>
    <row r="600" spans="1:9">
      <c r="A600" s="22">
        <v>77010000256</v>
      </c>
      <c r="B600" s="22">
        <v>6</v>
      </c>
      <c r="C600" s="23" t="s">
        <v>0</v>
      </c>
      <c r="D600" s="22">
        <v>8.52</v>
      </c>
      <c r="E600" s="39">
        <v>13</v>
      </c>
      <c r="F600">
        <f>IF(COUNTIF($A$2:A600, A600)=1, 1, 0)</f>
        <v>0</v>
      </c>
      <c r="G600">
        <f>IF(AND(C600="Внутри сети", COUNTIFS($A$2:A600, A600, $C$2:C600, "Внутри сети")=1), 1, 0)</f>
        <v>0</v>
      </c>
      <c r="H600">
        <f>IF(AND(B600=6, COUNTIFS($A$2:A600, A600, $B$2:B600, 6)=1), 1, 0)</f>
        <v>0</v>
      </c>
      <c r="I600">
        <f>IF(AND(B600=2, COUNTIFS($A$2:A600, A600, $B$2:B600, 2)=1), 1, 0)</f>
        <v>0</v>
      </c>
    </row>
    <row r="601" spans="1:9">
      <c r="A601" s="22">
        <v>77010000292</v>
      </c>
      <c r="B601" s="22">
        <v>6</v>
      </c>
      <c r="C601" s="23" t="s">
        <v>0</v>
      </c>
      <c r="D601" s="22">
        <v>8.52</v>
      </c>
      <c r="E601" s="39">
        <v>13</v>
      </c>
      <c r="F601">
        <f>IF(COUNTIF($A$2:A601, A601)=1, 1, 0)</f>
        <v>0</v>
      </c>
      <c r="G601">
        <f>IF(AND(C601="Внутри сети", COUNTIFS($A$2:A601, A601, $C$2:C601, "Внутри сети")=1), 1, 0)</f>
        <v>0</v>
      </c>
      <c r="H601">
        <f>IF(AND(B601=6, COUNTIFS($A$2:A601, A601, $B$2:B601, 6)=1), 1, 0)</f>
        <v>0</v>
      </c>
      <c r="I601">
        <f>IF(AND(B601=2, COUNTIFS($A$2:A601, A601, $B$2:B601, 2)=1), 1, 0)</f>
        <v>0</v>
      </c>
    </row>
    <row r="602" spans="1:9">
      <c r="A602" s="22">
        <v>77010000249</v>
      </c>
      <c r="B602" s="22">
        <v>6</v>
      </c>
      <c r="C602" s="23" t="s">
        <v>3</v>
      </c>
      <c r="D602" s="22">
        <v>24.5</v>
      </c>
      <c r="E602" s="39">
        <v>13</v>
      </c>
      <c r="F602">
        <f>IF(COUNTIF($A$2:A602, A602)=1, 1, 0)</f>
        <v>0</v>
      </c>
      <c r="G602">
        <f>IF(AND(C602="Внутри сети", COUNTIFS($A$2:A602, A602, $C$2:C602, "Внутри сети")=1), 1, 0)</f>
        <v>0</v>
      </c>
      <c r="H602">
        <f>IF(AND(B602=6, COUNTIFS($A$2:A602, A602, $B$2:B602, 6)=1), 1, 0)</f>
        <v>0</v>
      </c>
      <c r="I602">
        <f>IF(AND(B602=2, COUNTIFS($A$2:A602, A602, $B$2:B602, 2)=1), 1, 0)</f>
        <v>0</v>
      </c>
    </row>
    <row r="603" spans="1:9">
      <c r="A603" s="22">
        <v>77010000254</v>
      </c>
      <c r="B603" s="22">
        <v>6</v>
      </c>
      <c r="C603" s="23" t="s">
        <v>0</v>
      </c>
      <c r="D603" s="22">
        <v>8.52</v>
      </c>
      <c r="E603" s="39">
        <v>14</v>
      </c>
      <c r="F603">
        <f>IF(COUNTIF($A$2:A603, A603)=1, 1, 0)</f>
        <v>0</v>
      </c>
      <c r="G603">
        <f>IF(AND(C603="Внутри сети", COUNTIFS($A$2:A603, A603, $C$2:C603, "Внутри сети")=1), 1, 0)</f>
        <v>0</v>
      </c>
      <c r="H603">
        <f>IF(AND(B603=6, COUNTIFS($A$2:A603, A603, $B$2:B603, 6)=1), 1, 0)</f>
        <v>0</v>
      </c>
      <c r="I603">
        <f>IF(AND(B603=2, COUNTIFS($A$2:A603, A603, $B$2:B603, 2)=1), 1, 0)</f>
        <v>0</v>
      </c>
    </row>
    <row r="604" spans="1:9">
      <c r="A604" s="22">
        <v>77010000277</v>
      </c>
      <c r="B604" s="22">
        <v>6</v>
      </c>
      <c r="C604" s="23" t="s">
        <v>0</v>
      </c>
      <c r="D604" s="22">
        <v>8.52</v>
      </c>
      <c r="E604" s="39">
        <v>14</v>
      </c>
      <c r="F604">
        <f>IF(COUNTIF($A$2:A604, A604)=1, 1, 0)</f>
        <v>1</v>
      </c>
      <c r="G604">
        <f>IF(AND(C604="Внутри сети", COUNTIFS($A$2:A604, A604, $C$2:C604, "Внутри сети")=1), 1, 0)</f>
        <v>1</v>
      </c>
      <c r="H604">
        <f>IF(AND(B604=6, COUNTIFS($A$2:A604, A604, $B$2:B604, 6)=1), 1, 0)</f>
        <v>1</v>
      </c>
      <c r="I604">
        <f>IF(AND(B604=2, COUNTIFS($A$2:A604, A604, $B$2:B604, 2)=1), 1, 0)</f>
        <v>0</v>
      </c>
    </row>
    <row r="605" spans="1:9">
      <c r="A605" s="22">
        <v>77010000286</v>
      </c>
      <c r="B605" s="22">
        <v>6</v>
      </c>
      <c r="C605" s="23" t="s">
        <v>0</v>
      </c>
      <c r="D605" s="22">
        <v>8.52</v>
      </c>
      <c r="E605" s="39">
        <v>14</v>
      </c>
      <c r="F605">
        <f>IF(COUNTIF($A$2:A605, A605)=1, 1, 0)</f>
        <v>1</v>
      </c>
      <c r="G605">
        <f>IF(AND(C605="Внутри сети", COUNTIFS($A$2:A605, A605, $C$2:C605, "Внутри сети")=1), 1, 0)</f>
        <v>1</v>
      </c>
      <c r="H605">
        <f>IF(AND(B605=6, COUNTIFS($A$2:A605, A605, $B$2:B605, 6)=1), 1, 0)</f>
        <v>1</v>
      </c>
      <c r="I605">
        <f>IF(AND(B605=2, COUNTIFS($A$2:A605, A605, $B$2:B605, 2)=1), 1, 0)</f>
        <v>0</v>
      </c>
    </row>
    <row r="606" spans="1:9">
      <c r="A606" s="22">
        <v>77010000257</v>
      </c>
      <c r="B606" s="22">
        <v>6</v>
      </c>
      <c r="C606" s="23" t="s">
        <v>0</v>
      </c>
      <c r="D606" s="22">
        <v>8.52</v>
      </c>
      <c r="E606" s="39">
        <v>14</v>
      </c>
      <c r="F606">
        <f>IF(COUNTIF($A$2:A606, A606)=1, 1, 0)</f>
        <v>0</v>
      </c>
      <c r="G606">
        <f>IF(AND(C606="Внутри сети", COUNTIFS($A$2:A606, A606, $C$2:C606, "Внутри сети")=1), 1, 0)</f>
        <v>0</v>
      </c>
      <c r="H606">
        <f>IF(AND(B606=6, COUNTIFS($A$2:A606, A606, $B$2:B606, 6)=1), 1, 0)</f>
        <v>0</v>
      </c>
      <c r="I606">
        <f>IF(AND(B606=2, COUNTIFS($A$2:A606, A606, $B$2:B606, 2)=1), 1, 0)</f>
        <v>0</v>
      </c>
    </row>
    <row r="607" spans="1:9">
      <c r="A607" s="22">
        <v>77010000280</v>
      </c>
      <c r="B607" s="22">
        <v>6</v>
      </c>
      <c r="C607" s="23" t="s">
        <v>0</v>
      </c>
      <c r="D607" s="22">
        <v>8.52</v>
      </c>
      <c r="E607" s="39">
        <v>14</v>
      </c>
      <c r="F607">
        <f>IF(COUNTIF($A$2:A607, A607)=1, 1, 0)</f>
        <v>0</v>
      </c>
      <c r="G607">
        <f>IF(AND(C607="Внутри сети", COUNTIFS($A$2:A607, A607, $C$2:C607, "Внутри сети")=1), 1, 0)</f>
        <v>0</v>
      </c>
      <c r="H607">
        <f>IF(AND(B607=6, COUNTIFS($A$2:A607, A607, $B$2:B607, 6)=1), 1, 0)</f>
        <v>0</v>
      </c>
      <c r="I607">
        <f>IF(AND(B607=2, COUNTIFS($A$2:A607, A607, $B$2:B607, 2)=1), 1, 0)</f>
        <v>0</v>
      </c>
    </row>
    <row r="608" spans="1:9">
      <c r="A608" s="22">
        <v>77010000255</v>
      </c>
      <c r="B608" s="22">
        <v>6</v>
      </c>
      <c r="C608" s="23" t="s">
        <v>0</v>
      </c>
      <c r="D608" s="22">
        <v>8.52</v>
      </c>
      <c r="E608" s="39">
        <v>15</v>
      </c>
      <c r="F608">
        <f>IF(COUNTIF($A$2:A608, A608)=1, 1, 0)</f>
        <v>0</v>
      </c>
      <c r="G608">
        <f>IF(AND(C608="Внутри сети", COUNTIFS($A$2:A608, A608, $C$2:C608, "Внутри сети")=1), 1, 0)</f>
        <v>0</v>
      </c>
      <c r="H608">
        <f>IF(AND(B608=6, COUNTIFS($A$2:A608, A608, $B$2:B608, 6)=1), 1, 0)</f>
        <v>0</v>
      </c>
      <c r="I608">
        <f>IF(AND(B608=2, COUNTIFS($A$2:A608, A608, $B$2:B608, 2)=1), 1, 0)</f>
        <v>0</v>
      </c>
    </row>
    <row r="609" spans="1:9">
      <c r="A609" s="22">
        <v>77010000284</v>
      </c>
      <c r="B609" s="22">
        <v>6</v>
      </c>
      <c r="C609" s="23" t="s">
        <v>0</v>
      </c>
      <c r="D609" s="22">
        <v>8.52</v>
      </c>
      <c r="E609" s="39">
        <v>15</v>
      </c>
      <c r="F609">
        <f>IF(COUNTIF($A$2:A609, A609)=1, 1, 0)</f>
        <v>1</v>
      </c>
      <c r="G609">
        <f>IF(AND(C609="Внутри сети", COUNTIFS($A$2:A609, A609, $C$2:C609, "Внутри сети")=1), 1, 0)</f>
        <v>1</v>
      </c>
      <c r="H609">
        <f>IF(AND(B609=6, COUNTIFS($A$2:A609, A609, $B$2:B609, 6)=1), 1, 0)</f>
        <v>1</v>
      </c>
      <c r="I609">
        <f>IF(AND(B609=2, COUNTIFS($A$2:A609, A609, $B$2:B609, 2)=1), 1, 0)</f>
        <v>0</v>
      </c>
    </row>
    <row r="610" spans="1:9">
      <c r="A610" s="22">
        <v>77010000297</v>
      </c>
      <c r="B610" s="22">
        <v>6</v>
      </c>
      <c r="C610" s="23" t="s">
        <v>0</v>
      </c>
      <c r="D610" s="22">
        <v>8.52</v>
      </c>
      <c r="E610" s="39">
        <v>15</v>
      </c>
      <c r="F610">
        <f>IF(COUNTIF($A$2:A610, A610)=1, 1, 0)</f>
        <v>1</v>
      </c>
      <c r="G610">
        <f>IF(AND(C610="Внутри сети", COUNTIFS($A$2:A610, A610, $C$2:C610, "Внутри сети")=1), 1, 0)</f>
        <v>1</v>
      </c>
      <c r="H610">
        <f>IF(AND(B610=6, COUNTIFS($A$2:A610, A610, $B$2:B610, 6)=1), 1, 0)</f>
        <v>1</v>
      </c>
      <c r="I610">
        <f>IF(AND(B610=2, COUNTIFS($A$2:A610, A610, $B$2:B610, 2)=1), 1, 0)</f>
        <v>0</v>
      </c>
    </row>
    <row r="611" spans="1:9">
      <c r="A611" s="22">
        <v>77010000313</v>
      </c>
      <c r="B611" s="22">
        <v>6</v>
      </c>
      <c r="C611" s="23" t="s">
        <v>0</v>
      </c>
      <c r="D611" s="22">
        <v>8.52</v>
      </c>
      <c r="E611" s="39">
        <v>16</v>
      </c>
      <c r="F611">
        <f>IF(COUNTIF($A$2:A611, A611)=1, 1, 0)</f>
        <v>1</v>
      </c>
      <c r="G611">
        <f>IF(AND(C611="Внутри сети", COUNTIFS($A$2:A611, A611, $C$2:C611, "Внутри сети")=1), 1, 0)</f>
        <v>1</v>
      </c>
      <c r="H611">
        <f>IF(AND(B611=6, COUNTIFS($A$2:A611, A611, $B$2:B611, 6)=1), 1, 0)</f>
        <v>1</v>
      </c>
      <c r="I611">
        <f>IF(AND(B611=2, COUNTIFS($A$2:A611, A611, $B$2:B611, 2)=1), 1, 0)</f>
        <v>0</v>
      </c>
    </row>
    <row r="612" spans="1:9">
      <c r="A612" s="22">
        <v>77010000274</v>
      </c>
      <c r="B612" s="22">
        <v>6</v>
      </c>
      <c r="C612" s="23" t="s">
        <v>0</v>
      </c>
      <c r="D612" s="22">
        <v>8.52</v>
      </c>
      <c r="E612" s="39">
        <v>16</v>
      </c>
      <c r="F612">
        <f>IF(COUNTIF($A$2:A612, A612)=1, 1, 0)</f>
        <v>0</v>
      </c>
      <c r="G612">
        <f>IF(AND(C612="Внутри сети", COUNTIFS($A$2:A612, A612, $C$2:C612, "Внутри сети")=1), 1, 0)</f>
        <v>0</v>
      </c>
      <c r="H612">
        <f>IF(AND(B612=6, COUNTIFS($A$2:A612, A612, $B$2:B612, 6)=1), 1, 0)</f>
        <v>0</v>
      </c>
      <c r="I612">
        <f>IF(AND(B612=2, COUNTIFS($A$2:A612, A612, $B$2:B612, 2)=1), 1, 0)</f>
        <v>0</v>
      </c>
    </row>
    <row r="613" spans="1:9">
      <c r="A613" s="22">
        <v>77010000260</v>
      </c>
      <c r="B613" s="22">
        <v>6</v>
      </c>
      <c r="C613" s="23" t="s">
        <v>0</v>
      </c>
      <c r="D613" s="22">
        <v>8.52</v>
      </c>
      <c r="E613" s="39">
        <v>16</v>
      </c>
      <c r="F613">
        <f>IF(COUNTIF($A$2:A613, A613)=1, 1, 0)</f>
        <v>0</v>
      </c>
      <c r="G613">
        <f>IF(AND(C613="Внутри сети", COUNTIFS($A$2:A613, A613, $C$2:C613, "Внутри сети")=1), 1, 0)</f>
        <v>0</v>
      </c>
      <c r="H613">
        <f>IF(AND(B613=6, COUNTIFS($A$2:A613, A613, $B$2:B613, 6)=1), 1, 0)</f>
        <v>0</v>
      </c>
      <c r="I613">
        <f>IF(AND(B613=2, COUNTIFS($A$2:A613, A613, $B$2:B613, 2)=1), 1, 0)</f>
        <v>0</v>
      </c>
    </row>
    <row r="614" spans="1:9">
      <c r="A614" s="22">
        <v>77010000292</v>
      </c>
      <c r="B614" s="22">
        <v>6</v>
      </c>
      <c r="C614" s="23" t="s">
        <v>0</v>
      </c>
      <c r="D614" s="22">
        <v>8.52</v>
      </c>
      <c r="E614" s="39">
        <v>16</v>
      </c>
      <c r="F614">
        <f>IF(COUNTIF($A$2:A614, A614)=1, 1, 0)</f>
        <v>0</v>
      </c>
      <c r="G614">
        <f>IF(AND(C614="Внутри сети", COUNTIFS($A$2:A614, A614, $C$2:C614, "Внутри сети")=1), 1, 0)</f>
        <v>0</v>
      </c>
      <c r="H614">
        <f>IF(AND(B614=6, COUNTIFS($A$2:A614, A614, $B$2:B614, 6)=1), 1, 0)</f>
        <v>0</v>
      </c>
      <c r="I614">
        <f>IF(AND(B614=2, COUNTIFS($A$2:A614, A614, $B$2:B614, 2)=1), 1, 0)</f>
        <v>0</v>
      </c>
    </row>
    <row r="615" spans="1:9">
      <c r="A615" s="22">
        <v>77010000258</v>
      </c>
      <c r="B615" s="22">
        <v>6</v>
      </c>
      <c r="C615" s="23" t="s">
        <v>0</v>
      </c>
      <c r="D615" s="22">
        <v>8.52</v>
      </c>
      <c r="E615" s="39">
        <v>18</v>
      </c>
      <c r="F615">
        <f>IF(COUNTIF($A$2:A615, A615)=1, 1, 0)</f>
        <v>0</v>
      </c>
      <c r="G615">
        <f>IF(AND(C615="Внутри сети", COUNTIFS($A$2:A615, A615, $C$2:C615, "Внутри сети")=1), 1, 0)</f>
        <v>0</v>
      </c>
      <c r="H615">
        <f>IF(AND(B615=6, COUNTIFS($A$2:A615, A615, $B$2:B615, 6)=1), 1, 0)</f>
        <v>0</v>
      </c>
      <c r="I615">
        <f>IF(AND(B615=2, COUNTIFS($A$2:A615, A615, $B$2:B615, 2)=1), 1, 0)</f>
        <v>0</v>
      </c>
    </row>
    <row r="616" spans="1:9">
      <c r="A616" s="22">
        <v>77010000307</v>
      </c>
      <c r="B616" s="22">
        <v>6</v>
      </c>
      <c r="C616" s="23" t="s">
        <v>0</v>
      </c>
      <c r="D616" s="22">
        <v>8.52</v>
      </c>
      <c r="E616" s="39">
        <v>18</v>
      </c>
      <c r="F616">
        <f>IF(COUNTIF($A$2:A616, A616)=1, 1, 0)</f>
        <v>0</v>
      </c>
      <c r="G616">
        <f>IF(AND(C616="Внутри сети", COUNTIFS($A$2:A616, A616, $C$2:C616, "Внутри сети")=1), 1, 0)</f>
        <v>0</v>
      </c>
      <c r="H616">
        <f>IF(AND(B616=6, COUNTIFS($A$2:A616, A616, $B$2:B616, 6)=1), 1, 0)</f>
        <v>0</v>
      </c>
      <c r="I616">
        <f>IF(AND(B616=2, COUNTIFS($A$2:A616, A616, $B$2:B616, 2)=1), 1, 0)</f>
        <v>0</v>
      </c>
    </row>
    <row r="617" spans="1:9">
      <c r="A617" s="22">
        <v>77010000272</v>
      </c>
      <c r="B617" s="22">
        <v>6</v>
      </c>
      <c r="C617" s="23" t="s">
        <v>0</v>
      </c>
      <c r="D617" s="22">
        <v>8.52</v>
      </c>
      <c r="E617" s="39">
        <v>19</v>
      </c>
      <c r="F617">
        <f>IF(COUNTIF($A$2:A617, A617)=1, 1, 0)</f>
        <v>0</v>
      </c>
      <c r="G617">
        <f>IF(AND(C617="Внутри сети", COUNTIFS($A$2:A617, A617, $C$2:C617, "Внутри сети")=1), 1, 0)</f>
        <v>0</v>
      </c>
      <c r="H617">
        <f>IF(AND(B617=6, COUNTIFS($A$2:A617, A617, $B$2:B617, 6)=1), 1, 0)</f>
        <v>0</v>
      </c>
      <c r="I617">
        <f>IF(AND(B617=2, COUNTIFS($A$2:A617, A617, $B$2:B617, 2)=1), 1, 0)</f>
        <v>0</v>
      </c>
    </row>
    <row r="618" spans="1:9">
      <c r="A618" s="22">
        <v>77010000269</v>
      </c>
      <c r="B618" s="22">
        <v>6</v>
      </c>
      <c r="C618" s="23" t="s">
        <v>0</v>
      </c>
      <c r="D618" s="22">
        <v>12.79</v>
      </c>
      <c r="E618" s="39">
        <v>21</v>
      </c>
      <c r="F618">
        <f>IF(COUNTIF($A$2:A618, A618)=1, 1, 0)</f>
        <v>0</v>
      </c>
      <c r="G618">
        <f>IF(AND(C618="Внутри сети", COUNTIFS($A$2:A618, A618, $C$2:C618, "Внутри сети")=1), 1, 0)</f>
        <v>0</v>
      </c>
      <c r="H618">
        <f>IF(AND(B618=6, COUNTIFS($A$2:A618, A618, $B$2:B618, 6)=1), 1, 0)</f>
        <v>0</v>
      </c>
      <c r="I618">
        <f>IF(AND(B618=2, COUNTIFS($A$2:A618, A618, $B$2:B618, 2)=1), 1, 0)</f>
        <v>0</v>
      </c>
    </row>
    <row r="619" spans="1:9">
      <c r="A619" s="22">
        <v>77010000283</v>
      </c>
      <c r="B619" s="22">
        <v>6</v>
      </c>
      <c r="C619" s="23" t="s">
        <v>0</v>
      </c>
      <c r="D619" s="22">
        <v>12.79</v>
      </c>
      <c r="E619" s="39">
        <v>22</v>
      </c>
      <c r="F619">
        <f>IF(COUNTIF($A$2:A619, A619)=1, 1, 0)</f>
        <v>1</v>
      </c>
      <c r="G619">
        <f>IF(AND(C619="Внутри сети", COUNTIFS($A$2:A619, A619, $C$2:C619, "Внутри сети")=1), 1, 0)</f>
        <v>1</v>
      </c>
      <c r="H619">
        <f>IF(AND(B619=6, COUNTIFS($A$2:A619, A619, $B$2:B619, 6)=1), 1, 0)</f>
        <v>1</v>
      </c>
      <c r="I619">
        <f>IF(AND(B619=2, COUNTIFS($A$2:A619, A619, $B$2:B619, 2)=1), 1, 0)</f>
        <v>0</v>
      </c>
    </row>
    <row r="620" spans="1:9">
      <c r="A620" s="22">
        <v>77010000246</v>
      </c>
      <c r="B620" s="22">
        <v>6</v>
      </c>
      <c r="C620" s="23" t="s">
        <v>0</v>
      </c>
      <c r="D620" s="22">
        <v>12.79</v>
      </c>
      <c r="E620" s="39">
        <v>22</v>
      </c>
      <c r="F620">
        <f>IF(COUNTIF($A$2:A620, A620)=1, 1, 0)</f>
        <v>0</v>
      </c>
      <c r="G620">
        <f>IF(AND(C620="Внутри сети", COUNTIFS($A$2:A620, A620, $C$2:C620, "Внутри сети")=1), 1, 0)</f>
        <v>0</v>
      </c>
      <c r="H620">
        <f>IF(AND(B620=6, COUNTIFS($A$2:A620, A620, $B$2:B620, 6)=1), 1, 0)</f>
        <v>0</v>
      </c>
      <c r="I620">
        <f>IF(AND(B620=2, COUNTIFS($A$2:A620, A620, $B$2:B620, 2)=1), 1, 0)</f>
        <v>0</v>
      </c>
    </row>
    <row r="621" spans="1:9">
      <c r="A621" s="22">
        <v>77010000247</v>
      </c>
      <c r="B621" s="22">
        <v>6</v>
      </c>
      <c r="C621" s="23" t="s">
        <v>0</v>
      </c>
      <c r="D621" s="22">
        <v>12.79</v>
      </c>
      <c r="E621" s="39">
        <v>22</v>
      </c>
      <c r="F621">
        <f>IF(COUNTIF($A$2:A621, A621)=1, 1, 0)</f>
        <v>0</v>
      </c>
      <c r="G621">
        <f>IF(AND(C621="Внутри сети", COUNTIFS($A$2:A621, A621, $C$2:C621, "Внутри сети")=1), 1, 0)</f>
        <v>0</v>
      </c>
      <c r="H621">
        <f>IF(AND(B621=6, COUNTIFS($A$2:A621, A621, $B$2:B621, 6)=1), 1, 0)</f>
        <v>0</v>
      </c>
      <c r="I621">
        <f>IF(AND(B621=2, COUNTIFS($A$2:A621, A621, $B$2:B621, 2)=1), 1, 0)</f>
        <v>0</v>
      </c>
    </row>
    <row r="622" spans="1:9">
      <c r="A622" s="22">
        <v>77010000278</v>
      </c>
      <c r="B622" s="22">
        <v>6</v>
      </c>
      <c r="C622" s="23" t="s">
        <v>0</v>
      </c>
      <c r="D622" s="22">
        <v>12.79</v>
      </c>
      <c r="E622" s="39">
        <v>22</v>
      </c>
      <c r="F622">
        <f>IF(COUNTIF($A$2:A622, A622)=1, 1, 0)</f>
        <v>0</v>
      </c>
      <c r="G622">
        <f>IF(AND(C622="Внутри сети", COUNTIFS($A$2:A622, A622, $C$2:C622, "Внутри сети")=1), 1, 0)</f>
        <v>0</v>
      </c>
      <c r="H622">
        <f>IF(AND(B622=6, COUNTIFS($A$2:A622, A622, $B$2:B622, 6)=1), 1, 0)</f>
        <v>0</v>
      </c>
      <c r="I622">
        <f>IF(AND(B622=2, COUNTIFS($A$2:A622, A622, $B$2:B622, 2)=1), 1, 0)</f>
        <v>0</v>
      </c>
    </row>
    <row r="623" spans="1:9">
      <c r="A623" s="22">
        <v>77010000291</v>
      </c>
      <c r="B623" s="22">
        <v>6</v>
      </c>
      <c r="C623" s="23" t="s">
        <v>0</v>
      </c>
      <c r="D623" s="22">
        <v>12.79</v>
      </c>
      <c r="E623" s="39">
        <v>23</v>
      </c>
      <c r="F623">
        <f>IF(COUNTIF($A$2:A623, A623)=1, 1, 0)</f>
        <v>0</v>
      </c>
      <c r="G623">
        <f>IF(AND(C623="Внутри сети", COUNTIFS($A$2:A623, A623, $C$2:C623, "Внутри сети")=1), 1, 0)</f>
        <v>0</v>
      </c>
      <c r="H623">
        <f>IF(AND(B623=6, COUNTIFS($A$2:A623, A623, $B$2:B623, 6)=1), 1, 0)</f>
        <v>0</v>
      </c>
      <c r="I623">
        <f>IF(AND(B623=2, COUNTIFS($A$2:A623, A623, $B$2:B623, 2)=1), 1, 0)</f>
        <v>0</v>
      </c>
    </row>
    <row r="624" spans="1:9">
      <c r="A624" s="24">
        <v>77010000246</v>
      </c>
      <c r="B624" s="24">
        <v>6</v>
      </c>
      <c r="C624" s="25" t="s">
        <v>1</v>
      </c>
      <c r="D624" s="24">
        <v>22.3</v>
      </c>
      <c r="E624" s="40">
        <v>24</v>
      </c>
      <c r="F624">
        <f>IF(COUNTIF($A$2:A624, A624)=1, 1, 0)</f>
        <v>0</v>
      </c>
      <c r="G624">
        <f>IF(AND(C624="Внутри сети", COUNTIFS($A$2:A624, A624, $C$2:C624, "Внутри сети")=1), 1, 0)</f>
        <v>0</v>
      </c>
      <c r="H624">
        <f>IF(AND(B624=6, COUNTIFS($A$2:A624, A624, $B$2:B624, 6)=1), 1, 0)</f>
        <v>0</v>
      </c>
      <c r="I624">
        <f>IF(AND(B624=2, COUNTIFS($A$2:A624, A624, $B$2:B624, 2)=1), 1, 0)</f>
        <v>0</v>
      </c>
    </row>
  </sheetData>
  <sheetProtection pivotTables="0"/>
  <autoFilter ref="A1:I624" xr:uid="{00000000-0001-0000-0100-000000000000}">
    <sortState xmlns:xlrd2="http://schemas.microsoft.com/office/spreadsheetml/2017/richdata2" ref="A362:I519">
      <sortCondition descending="1" ref="E1:E624"/>
    </sortState>
  </autoFilter>
  <phoneticPr fontId="5" type="noConversion"/>
  <conditionalFormatting sqref="K380">
    <cfRule type="expression" dxfId="0" priority="1" stopIfTrue="1">
      <formula>M379="Неправильный ответ"</formula>
    </cfRule>
  </conditionalFormatting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 ответов</vt:lpstr>
      <vt:lpstr>База данных</vt:lpstr>
    </vt:vector>
  </TitlesOfParts>
  <Company>kcell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Ulan.Madiyanov</dc:creator>
  <cp:lastModifiedBy>Чингиз</cp:lastModifiedBy>
  <dcterms:created xsi:type="dcterms:W3CDTF">2010-08-09T12:20:19Z</dcterms:created>
  <dcterms:modified xsi:type="dcterms:W3CDTF">2026-09-30T08:42:51Z</dcterms:modified>
</cp:coreProperties>
</file>